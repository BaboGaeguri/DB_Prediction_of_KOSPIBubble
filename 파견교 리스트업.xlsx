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김상희\OneDrive\바탕 화면\"/>
    </mc:Choice>
  </mc:AlternateContent>
  <xr:revisionPtr revIDLastSave="0" documentId="13_ncr:1_{76DC5BAC-1F13-4CC2-AF70-540A000543FC}" xr6:coauthVersionLast="47" xr6:coauthVersionMax="47" xr10:uidLastSave="{00000000-0000-0000-0000-000000000000}"/>
  <bookViews>
    <workbookView xWindow="-108" yWindow="-108" windowWidth="23256" windowHeight="12456" xr2:uid="{00000000-000D-0000-FFFF-FFFF00000000}"/>
  </bookViews>
  <sheets>
    <sheet name="본모집_영미유럽기타" sheetId="1" r:id="rId1"/>
    <sheet name="본모집_일본중국어" sheetId="2" r:id="rId2"/>
    <sheet name="평균평점(GPA) 변환" sheetId="3" r:id="rId3"/>
  </sheets>
  <externalReferences>
    <externalReference r:id="rId4"/>
    <externalReference r:id="rId5"/>
    <externalReference r:id="rId6"/>
  </externalReferences>
  <definedNames>
    <definedName name="_xlnm._FilterDatabase" localSheetId="0" hidden="1">본모집_영미유럽기타!$A$8:$AF$98</definedName>
    <definedName name="_xlnm._FilterDatabase" localSheetId="1" hidden="1">본모집_일본중국어!$A$8:$AF$8</definedName>
    <definedName name="hami_viauc.dk" localSheetId="2">[1]유럽권!#REF!</definedName>
    <definedName name="hami_viauc.dk">[1]유럽권!#REF!</definedName>
    <definedName name="_xlnm.Print_Area" localSheetId="2">'평균평점(GPA) 변환'!$A$1:$E$9</definedName>
    <definedName name="대분류" localSheetId="2">[2]참조!$A$1:$L$1</definedName>
    <definedName name="대분류">[3]참조!$A$1:$L$1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7" i="3" l="1"/>
  <c r="C6" i="3"/>
  <c r="C5" i="3"/>
</calcChain>
</file>

<file path=xl/sharedStrings.xml><?xml version="1.0" encoding="utf-8"?>
<sst xmlns="http://schemas.openxmlformats.org/spreadsheetml/2006/main" count="3262" uniqueCount="1311">
  <si>
    <t>순번</t>
    <phoneticPr fontId="3" type="noConversion"/>
  </si>
  <si>
    <t>대학명</t>
    <phoneticPr fontId="3" type="noConversion"/>
  </si>
  <si>
    <t>국가</t>
    <phoneticPr fontId="3" type="noConversion"/>
  </si>
  <si>
    <t>언어권</t>
    <phoneticPr fontId="3" type="noConversion"/>
  </si>
  <si>
    <t>학제</t>
    <phoneticPr fontId="3" type="noConversion"/>
  </si>
  <si>
    <t>교환학생
웹사이트</t>
    <phoneticPr fontId="3" type="noConversion"/>
  </si>
  <si>
    <t>파견기간</t>
    <phoneticPr fontId="3" type="noConversion"/>
  </si>
  <si>
    <t>파견기간
특이사항</t>
    <phoneticPr fontId="3" type="noConversion"/>
  </si>
  <si>
    <t>지원자격</t>
    <phoneticPr fontId="3" type="noConversion"/>
  </si>
  <si>
    <t>수업</t>
    <phoneticPr fontId="3" type="noConversion"/>
  </si>
  <si>
    <t>기숙사</t>
    <phoneticPr fontId="3" type="noConversion"/>
  </si>
  <si>
    <t>2024-2 (Fall) 일정</t>
    <phoneticPr fontId="3" type="noConversion"/>
  </si>
  <si>
    <t>서울</t>
    <phoneticPr fontId="3" type="noConversion"/>
  </si>
  <si>
    <t>석사 가능
여부</t>
    <phoneticPr fontId="3" type="noConversion"/>
  </si>
  <si>
    <t>국적제한</t>
    <phoneticPr fontId="3" type="noConversion"/>
  </si>
  <si>
    <t>파견 직전학기 휴학가능</t>
    <phoneticPr fontId="3" type="noConversion"/>
  </si>
  <si>
    <t>GPA</t>
    <phoneticPr fontId="3" type="noConversion"/>
  </si>
  <si>
    <t>TOEFL iBT</t>
    <phoneticPr fontId="3" type="noConversion"/>
  </si>
  <si>
    <t>TOEFL ITP</t>
    <phoneticPr fontId="3" type="noConversion"/>
  </si>
  <si>
    <t>IELTS</t>
    <phoneticPr fontId="3" type="noConversion"/>
  </si>
  <si>
    <t>TOEIC</t>
    <phoneticPr fontId="3" type="noConversion"/>
  </si>
  <si>
    <t>기타</t>
    <phoneticPr fontId="3" type="noConversion"/>
  </si>
  <si>
    <t>프로그램
참고링크</t>
    <phoneticPr fontId="3" type="noConversion"/>
  </si>
  <si>
    <t>수강불가
학과</t>
    <phoneticPr fontId="3" type="noConversion"/>
  </si>
  <si>
    <t>어학
수업
제공</t>
    <phoneticPr fontId="3" type="noConversion"/>
  </si>
  <si>
    <t>최소 수강가능 학점</t>
    <phoneticPr fontId="3" type="noConversion"/>
  </si>
  <si>
    <t>최대 수강가능 학점</t>
    <phoneticPr fontId="3" type="noConversion"/>
  </si>
  <si>
    <t>기타 
특이사항</t>
    <phoneticPr fontId="3" type="noConversion"/>
  </si>
  <si>
    <t>수업
참고링크</t>
    <phoneticPr fontId="3" type="noConversion"/>
  </si>
  <si>
    <t>On-campus</t>
    <phoneticPr fontId="3" type="noConversion"/>
  </si>
  <si>
    <t>Off-campus</t>
    <phoneticPr fontId="3" type="noConversion"/>
  </si>
  <si>
    <t>개강일</t>
    <phoneticPr fontId="3" type="noConversion"/>
  </si>
  <si>
    <t>종강일</t>
    <phoneticPr fontId="3" type="noConversion"/>
  </si>
  <si>
    <t>방학</t>
    <phoneticPr fontId="3" type="noConversion"/>
  </si>
  <si>
    <t>노미네이션
마감일</t>
    <phoneticPr fontId="3" type="noConversion"/>
  </si>
  <si>
    <t>어플리케이션 마감일</t>
    <phoneticPr fontId="3" type="noConversion"/>
  </si>
  <si>
    <r>
      <t xml:space="preserve">  &lt;</t>
    </r>
    <r>
      <rPr>
        <b/>
        <sz val="14"/>
        <color theme="4" tint="0.39997558519241921"/>
        <rFont val="맑은 고딕"/>
        <family val="3"/>
        <charset val="129"/>
      </rPr>
      <t>필독</t>
    </r>
    <r>
      <rPr>
        <b/>
        <sz val="14"/>
        <color theme="4" tint="0.39997558519241921"/>
        <rFont val="Arial"/>
        <family val="2"/>
      </rPr>
      <t xml:space="preserve">! </t>
    </r>
    <r>
      <rPr>
        <b/>
        <sz val="14"/>
        <color theme="4" tint="0.39997558519241921"/>
        <rFont val="맑은 고딕"/>
        <family val="3"/>
        <charset val="129"/>
      </rPr>
      <t>지원</t>
    </r>
    <r>
      <rPr>
        <b/>
        <sz val="14"/>
        <color theme="4" tint="0.39997558519241921"/>
        <rFont val="Arial"/>
        <family val="2"/>
      </rPr>
      <t xml:space="preserve"> </t>
    </r>
    <r>
      <rPr>
        <b/>
        <sz val="14"/>
        <color theme="4" tint="0.39997558519241921"/>
        <rFont val="맑은 고딕"/>
        <family val="3"/>
        <charset val="129"/>
      </rPr>
      <t>전</t>
    </r>
    <r>
      <rPr>
        <b/>
        <sz val="14"/>
        <color theme="4" tint="0.39997558519241921"/>
        <rFont val="Arial"/>
        <family val="2"/>
      </rPr>
      <t xml:space="preserve"> </t>
    </r>
    <r>
      <rPr>
        <b/>
        <sz val="14"/>
        <color theme="4" tint="0.39997558519241921"/>
        <rFont val="맑은 고딕"/>
        <family val="3"/>
        <charset val="129"/>
      </rPr>
      <t>유의사항</t>
    </r>
    <r>
      <rPr>
        <b/>
        <sz val="14"/>
        <color theme="4" tint="0.39997558519241921"/>
        <rFont val="Arial"/>
        <family val="2"/>
      </rPr>
      <t>&gt;</t>
    </r>
    <phoneticPr fontId="3" type="noConversion"/>
  </si>
  <si>
    <t>평균평점(GPA) 변환기</t>
    <phoneticPr fontId="3" type="noConversion"/>
  </si>
  <si>
    <r>
      <rPr>
        <b/>
        <sz val="10"/>
        <color theme="1"/>
        <rFont val="맑은 고딕"/>
        <family val="3"/>
        <charset val="129"/>
        <scheme val="minor"/>
      </rPr>
      <t>* 어학 성적 레벨 확인 링크:</t>
    </r>
    <r>
      <rPr>
        <sz val="10"/>
        <color theme="1"/>
        <rFont val="맑은 고딕"/>
        <family val="3"/>
        <charset val="129"/>
        <scheme val="minor"/>
      </rPr>
      <t xml:space="preserve"> https://en.wikipedia.org/wiki/Common_European_Framework_of_Reference_for_Languages</t>
    </r>
    <phoneticPr fontId="3" type="noConversion"/>
  </si>
  <si>
    <t>◈평균평점(GPA) 변환기◈</t>
    <phoneticPr fontId="3" type="noConversion"/>
  </si>
  <si>
    <t>4.5만점 기준 본인 성적 입력 ▶▶▶</t>
    <phoneticPr fontId="3" type="noConversion"/>
  </si>
  <si>
    <t>4.3만점 기준 성적</t>
    <phoneticPr fontId="3" type="noConversion"/>
  </si>
  <si>
    <t>4.0만점 기준 성적</t>
    <phoneticPr fontId="3" type="noConversion"/>
  </si>
  <si>
    <t>100점만점 기준 성적</t>
    <phoneticPr fontId="3" type="noConversion"/>
  </si>
  <si>
    <t>KIMEP University</t>
  </si>
  <si>
    <t>카자흐스탄</t>
  </si>
  <si>
    <t>아시아</t>
  </si>
  <si>
    <t>Semester</t>
  </si>
  <si>
    <t>2</t>
  </si>
  <si>
    <t>미국</t>
  </si>
  <si>
    <t>3</t>
  </si>
  <si>
    <t>캐나다</t>
  </si>
  <si>
    <t>4</t>
  </si>
  <si>
    <t>5</t>
  </si>
  <si>
    <t>Quarter</t>
  </si>
  <si>
    <t>6</t>
  </si>
  <si>
    <t>7</t>
  </si>
  <si>
    <t>브라질</t>
  </si>
  <si>
    <t>8</t>
  </si>
  <si>
    <t>11</t>
  </si>
  <si>
    <t>12</t>
  </si>
  <si>
    <t>Nanyang Technological University</t>
  </si>
  <si>
    <t>싱가포르</t>
  </si>
  <si>
    <t>13</t>
  </si>
  <si>
    <t>14</t>
  </si>
  <si>
    <t>15</t>
  </si>
  <si>
    <t>16</t>
  </si>
  <si>
    <t>17</t>
  </si>
  <si>
    <t>18</t>
  </si>
  <si>
    <t>19</t>
  </si>
  <si>
    <t>20</t>
  </si>
  <si>
    <t>22</t>
  </si>
  <si>
    <t>23</t>
  </si>
  <si>
    <t>24</t>
  </si>
  <si>
    <t>25</t>
  </si>
  <si>
    <t>26</t>
  </si>
  <si>
    <t>27</t>
  </si>
  <si>
    <t>호주</t>
  </si>
  <si>
    <t>28</t>
  </si>
  <si>
    <t>Trimester</t>
  </si>
  <si>
    <t>29</t>
  </si>
  <si>
    <t>30</t>
  </si>
  <si>
    <t>31</t>
  </si>
  <si>
    <t>32</t>
  </si>
  <si>
    <t>33</t>
  </si>
  <si>
    <t>34</t>
  </si>
  <si>
    <t>35</t>
  </si>
  <si>
    <t>36</t>
  </si>
  <si>
    <t>The Chinese University of Hong Kong</t>
  </si>
  <si>
    <t>홍콩</t>
  </si>
  <si>
    <t>37</t>
  </si>
  <si>
    <t>38</t>
  </si>
  <si>
    <t>39</t>
  </si>
  <si>
    <t>The Hong Kong Polytechnic University</t>
  </si>
  <si>
    <t>40</t>
  </si>
  <si>
    <t>41</t>
  </si>
  <si>
    <t>인도네시아</t>
  </si>
  <si>
    <t>42</t>
  </si>
  <si>
    <t>43</t>
  </si>
  <si>
    <t>44</t>
  </si>
  <si>
    <t>말레이시아</t>
  </si>
  <si>
    <t>45</t>
  </si>
  <si>
    <t>46</t>
  </si>
  <si>
    <t>47</t>
  </si>
  <si>
    <t>48</t>
  </si>
  <si>
    <t>49</t>
  </si>
  <si>
    <t>50</t>
  </si>
  <si>
    <t>51</t>
  </si>
  <si>
    <t>University of Oregon</t>
  </si>
  <si>
    <t>52</t>
  </si>
  <si>
    <t>53</t>
  </si>
  <si>
    <t>54</t>
  </si>
  <si>
    <t>55</t>
  </si>
  <si>
    <t>56</t>
  </si>
  <si>
    <t>57</t>
  </si>
  <si>
    <t>58</t>
  </si>
  <si>
    <t>59</t>
  </si>
  <si>
    <t>60</t>
  </si>
  <si>
    <t>61</t>
  </si>
  <si>
    <t>62</t>
  </si>
  <si>
    <t>63</t>
  </si>
  <si>
    <t>The University of Texas at Austin</t>
  </si>
  <si>
    <t>64</t>
  </si>
  <si>
    <t>독일</t>
  </si>
  <si>
    <t>유럽</t>
  </si>
  <si>
    <t>65</t>
  </si>
  <si>
    <t>66</t>
  </si>
  <si>
    <t>아일랜드</t>
  </si>
  <si>
    <t>67</t>
  </si>
  <si>
    <t>Breda University of Applied Sciences</t>
  </si>
  <si>
    <t>네덜란드</t>
  </si>
  <si>
    <t>68</t>
  </si>
  <si>
    <t>스페인</t>
  </si>
  <si>
    <t>69</t>
  </si>
  <si>
    <t>영국</t>
  </si>
  <si>
    <t>70</t>
  </si>
  <si>
    <t>71</t>
  </si>
  <si>
    <t>72</t>
  </si>
  <si>
    <t>73</t>
  </si>
  <si>
    <t>74</t>
  </si>
  <si>
    <t>75</t>
  </si>
  <si>
    <t>76</t>
  </si>
  <si>
    <t>77</t>
  </si>
  <si>
    <t>78</t>
  </si>
  <si>
    <t>79</t>
  </si>
  <si>
    <t>오스트리아</t>
  </si>
  <si>
    <t>80</t>
  </si>
  <si>
    <t>벨기에</t>
  </si>
  <si>
    <t>81</t>
  </si>
  <si>
    <t>82</t>
  </si>
  <si>
    <t>83</t>
  </si>
  <si>
    <t>84</t>
  </si>
  <si>
    <t>85</t>
  </si>
  <si>
    <t>86</t>
  </si>
  <si>
    <t>87</t>
  </si>
  <si>
    <t>88</t>
  </si>
  <si>
    <t>89</t>
  </si>
  <si>
    <t>IT University of Copenhagen</t>
  </si>
  <si>
    <t>덴마크</t>
  </si>
  <si>
    <t>90</t>
  </si>
  <si>
    <t>Haaga-Helia University of Applied Sciences</t>
  </si>
  <si>
    <t>핀란드</t>
  </si>
  <si>
    <t>프랑스</t>
  </si>
  <si>
    <t>KEDGE Business School</t>
  </si>
  <si>
    <t>University Paris 8</t>
  </si>
  <si>
    <t>University of Strasbourg</t>
  </si>
  <si>
    <t>European University Viadrina</t>
  </si>
  <si>
    <t>Karlshochschule International University</t>
  </si>
  <si>
    <t>Pforzheim University</t>
  </si>
  <si>
    <t>University of Bayreuth</t>
  </si>
  <si>
    <t>이탈리아</t>
  </si>
  <si>
    <t>Kaunas University of Technology</t>
  </si>
  <si>
    <t>리투아니아</t>
  </si>
  <si>
    <t>스웨덴</t>
  </si>
  <si>
    <t>스위스</t>
  </si>
  <si>
    <t>10</t>
  </si>
  <si>
    <t>X</t>
  </si>
  <si>
    <t>O</t>
  </si>
  <si>
    <t>없음</t>
  </si>
  <si>
    <t>2.67/4.33</t>
  </si>
  <si>
    <t>-</t>
  </si>
  <si>
    <t>2.5/4.0</t>
  </si>
  <si>
    <t>3.0/4.0</t>
  </si>
  <si>
    <t>20 ECTS</t>
  </si>
  <si>
    <t>30 ECTS</t>
  </si>
  <si>
    <t>mru.ca/inbound</t>
  </si>
  <si>
    <t>2.8/4.0</t>
  </si>
  <si>
    <t>86 (min. 20 in each of four sections)</t>
  </si>
  <si>
    <t>6.5 (min. 5.5 on each band)</t>
  </si>
  <si>
    <t>Nursing, Midwifery, Aviation</t>
  </si>
  <si>
    <t>9</t>
  </si>
  <si>
    <t>https://gem.ntu.edu.sg/index.cfm?FuseAction=Programs.ViewProgramAngular&amp;id=10006</t>
  </si>
  <si>
    <t>21</t>
  </si>
  <si>
    <t>Not accepted</t>
  </si>
  <si>
    <t>3.0/5.0</t>
  </si>
  <si>
    <t>https://sutdapac-my.sharepoint.com/:x:/g/personal/global_sutd_edu_sg/EQhUkOrruIZJgewsErePqc4BdTPnfg84zki6iI_Hrln46g</t>
  </si>
  <si>
    <t>https://www.stonybrook.edu/commcms/studyabroad/incoming/</t>
  </si>
  <si>
    <t>Duolingo - 105</t>
  </si>
  <si>
    <t>https://www.oal.cuhk.edu.hk/getting_started/</t>
  </si>
  <si>
    <t>https://www.oal.cuhk.edu.hk/files/incoming/course_exceptions.pdf</t>
  </si>
  <si>
    <t>https://gao.hsu.edu.hk/en/inbound-exchange/</t>
  </si>
  <si>
    <t>https://gao.hsu.edu.hk/en/inbound-exchange/academic-studies/</t>
  </si>
  <si>
    <t>https://www.polyu.edu.hk/geo/exchange-and-study-abroad/incoming-students/incoming-exchange/</t>
  </si>
  <si>
    <t>B2</t>
  </si>
  <si>
    <t>https://studyabroad.um.edu.my/inbound-long-term-module-selection</t>
  </si>
  <si>
    <t>http://www.ia.uni-stuttgart.de/internat/bewerber/program/Overseas/index.en.html</t>
  </si>
  <si>
    <t>https://uni-tuebingen.de/en/international/study-in-tuebingen/erasmus-and-exchange-to-tuebingen/</t>
  </si>
  <si>
    <t>https://www.buas.nl/en/international-students/study-at-buas/exchange-programmes</t>
  </si>
  <si>
    <t>15 ECTS</t>
  </si>
  <si>
    <t>https://www.uantwerpen.be/en/study/erasmus-and-exchange-students/become-an-exchange-student/</t>
  </si>
  <si>
    <t>Medicine</t>
  </si>
  <si>
    <t>https://www.utb.cz/en/university/international/students/exchange-students/incoming-students/application/</t>
  </si>
  <si>
    <t>https://www.utb.cz/en/university/international/students/exchange-students/incoming-students/courses/</t>
  </si>
  <si>
    <t>https://www.haaga-helia.fi/en/exchange-studies-haaga-helia</t>
  </si>
  <si>
    <t>30 per semester</t>
  </si>
  <si>
    <t>https://en.em-normandie.com/em-normandie-experience/open-world-studying-abroad/exchange-programmes</t>
  </si>
  <si>
    <t>https://sway.cloud.microsoft/pw0vfIJzSxUAjaxp?ref=Link</t>
  </si>
  <si>
    <t>https://student.kedge.edu/exchange-students</t>
  </si>
  <si>
    <t>B2 equivalent</t>
  </si>
  <si>
    <t>https://en.ism.de/exchange-students/study-abroad-semester</t>
  </si>
  <si>
    <t>36 ECTS</t>
  </si>
  <si>
    <t>https://www.hnu.de/en/international/international-exchange-students</t>
  </si>
  <si>
    <t>https://www.uni-konstanz.de/en/international-office/study-in-konstanz/exchange-studies/</t>
  </si>
  <si>
    <t>https://www.uni-konstanz.de/en/international-office/study-in-konstanz/exchange-studies/application/</t>
  </si>
  <si>
    <t>Law is mainly taught in German, therefore very good German language knowledge is necessary</t>
  </si>
  <si>
    <t>https://www.sc-politiche.unifi.it/vp-293-incoming-students.html</t>
  </si>
  <si>
    <t>https://www.sc-politiche.unifi.it/p492.html</t>
  </si>
  <si>
    <t>https://admissions.ktu.edu/exchange-students/#application</t>
  </si>
  <si>
    <t>No</t>
  </si>
  <si>
    <t>None</t>
  </si>
  <si>
    <t>https://liu.se/en/education/exchange-studies</t>
  </si>
  <si>
    <t>N/A</t>
  </si>
  <si>
    <r>
      <rPr>
        <b/>
        <sz val="10"/>
        <color theme="1"/>
        <rFont val="맑은 고딕"/>
        <family val="3"/>
        <charset val="129"/>
        <scheme val="minor"/>
      </rPr>
      <t xml:space="preserve">* QS 세계대학 순위 확인 링크: </t>
    </r>
    <r>
      <rPr>
        <sz val="10"/>
        <color theme="1"/>
        <rFont val="맑은 고딕"/>
        <family val="3"/>
        <charset val="129"/>
        <scheme val="minor"/>
      </rPr>
      <t>https://www.topuniversities.com/world-university-rankings</t>
    </r>
    <phoneticPr fontId="3" type="noConversion"/>
  </si>
  <si>
    <t>1</t>
    <phoneticPr fontId="3" type="noConversion"/>
  </si>
  <si>
    <t>-</t>
    <phoneticPr fontId="3" type="noConversion"/>
  </si>
  <si>
    <t>배정 TO (2026-1)</t>
    <phoneticPr fontId="3" type="noConversion"/>
  </si>
  <si>
    <t>ISEP Study Abroad</t>
  </si>
  <si>
    <t>기타</t>
  </si>
  <si>
    <t>Hanze University of Applied Sciences</t>
  </si>
  <si>
    <t>University of Konstanz</t>
  </si>
  <si>
    <t>Esslingen University</t>
  </si>
  <si>
    <t>University of Tübingen</t>
  </si>
  <si>
    <t>https://globale3.studioabroad.com/</t>
  </si>
  <si>
    <t>https://en.itu.dk/Programmes/Exchange-students/Exchange-students-ITU</t>
  </si>
  <si>
    <t>https://www.europa-uni.de/en/internationalitaet/incoming/austauschstudierende/index.html</t>
  </si>
  <si>
    <t>https://www.international-office.uni-bayreuth.de/en/come-to-bayreuth/exchange-students/index.html</t>
  </si>
  <si>
    <t>https://www.hs-pforzheim.de/en/international/studying_in_pforzheim/exchange_students</t>
  </si>
  <si>
    <t>한양대 선발 기준</t>
  </si>
  <si>
    <t>minimum result of 6.5</t>
  </si>
  <si>
    <t>43-71</t>
  </si>
  <si>
    <t>4.0 - 5.0</t>
  </si>
  <si>
    <t>at least 5.5</t>
  </si>
  <si>
    <t>80+</t>
  </si>
  <si>
    <t>550+</t>
  </si>
  <si>
    <t>none</t>
  </si>
  <si>
    <t>Depends on host</t>
  </si>
  <si>
    <t>NA</t>
  </si>
  <si>
    <t>Not applicable</t>
  </si>
  <si>
    <t>https://bayreuth.adv-pub.moveon4.de/home-page-2051/</t>
  </si>
  <si>
    <t>https://www.hnu.de/fileadmin/user_upload/5_Internationales/International_Incomings/HNU_FactSheet.pdf</t>
  </si>
  <si>
    <t>7,5</t>
  </si>
  <si>
    <t>https://www.cbs.de/en/international/certificate-programmes</t>
  </si>
  <si>
    <t>30-36</t>
  </si>
  <si>
    <t>https://uni-tuebingen.de/en/international/study-in-tuebingen/erasmus-and-exchange-to-tuebingen/courses-for-exchange-students/</t>
  </si>
  <si>
    <t>Depends on host university</t>
  </si>
  <si>
    <t>no</t>
  </si>
  <si>
    <t>University of Luxembourg</t>
  </si>
  <si>
    <t>Universiti Malaya</t>
  </si>
  <si>
    <t>North Carolina State University</t>
  </si>
  <si>
    <t>Linköping University</t>
  </si>
  <si>
    <t>Södertörn University</t>
  </si>
  <si>
    <t>University of Lausanne</t>
  </si>
  <si>
    <t>University of Malaga</t>
  </si>
  <si>
    <t>Universitat de Lleida (University of Lleida)</t>
  </si>
  <si>
    <t>Universidad Rey Juan Carlos</t>
  </si>
  <si>
    <t>영미</t>
  </si>
  <si>
    <t>https://www.uni.lu/en/mobility/incoming-exchange-students/how-do-you-apply/</t>
  </si>
  <si>
    <t>https://www.letu.edu/global-initiatives/exchange-process.html#ContentBlock-2-1</t>
  </si>
  <si>
    <t>https://isss.uoregon.edu/exchange-students</t>
  </si>
  <si>
    <t>https://studyabroad.ncsu.edu/incoming-student/</t>
  </si>
  <si>
    <t>https://www.zhaw.ch/en/engineering/study/international-office/incoming-exchange-students</t>
  </si>
  <si>
    <t>https://www.unil.ch/unil/en/home/menuinst/etudier/mobilite-et-echange/etudiantes-et-etudiants-internationaux/etudiantes-et-etudiants-d-echange.html</t>
  </si>
  <si>
    <t>https://www.uma.es/relaciones-internacionales/cms/menu/erasmus/incoming-students/nomination/?set_language=en</t>
  </si>
  <si>
    <t>자국민지원불가</t>
  </si>
  <si>
    <t>https://studyabroad.um.edu.my/inbound-long-term-info-package</t>
  </si>
  <si>
    <t>n/a</t>
  </si>
  <si>
    <t>https://ww1.oswego.edu/international/english-proficiency-requirements</t>
  </si>
  <si>
    <t>https://www.uantwerpen.be/en/study/erasmus-and-exchange-students/how-to-apply/application-documents/</t>
  </si>
  <si>
    <t>https://www.zhaw.ch/storage/engineering/studium/internationales-studium/vom-ausland-in-die-schweiz/ZHAW_School_of_Engineering_Factsheet_-_Incoming_Exchange.pdf</t>
  </si>
  <si>
    <t>https://www.urjc.es/images/Internacional/erasmus%20y%20movilidad/erasmus%20plus/incoming/00_ENG_FACTSHEET_2025_2026.pdf</t>
  </si>
  <si>
    <t>We recommend our incoming students take not less than 20 ECTS and not more than 35 ECTS per semester.</t>
  </si>
  <si>
    <t>NOT APPLICABLE</t>
  </si>
  <si>
    <t>18 credits</t>
  </si>
  <si>
    <t>Health-sciences (HAD), School of Medicine, School of Nursing, School of Dental Medicine, and Pharmacology</t>
  </si>
  <si>
    <t>12 credits</t>
  </si>
  <si>
    <t>21 ECTS/semester</t>
  </si>
  <si>
    <t>https://www.uantwerpen.be/en/about-uantwerp/faculties/faculty-of-business-and-economics/students/internationalisation/exchange-programme/non-dutch-courses/</t>
  </si>
  <si>
    <t>CETT-University of Barcelona</t>
  </si>
  <si>
    <t>Singapore University of Technology and Design (SUTD)</t>
  </si>
  <si>
    <t>Tomas Bata University in Zlín</t>
  </si>
  <si>
    <t>체코</t>
  </si>
  <si>
    <t>https://www.sutd.edu.sg/campus-life/global-experience-and-exchange/student-exchange/inbound/inbound-exchange/</t>
  </si>
  <si>
    <t>https://www.architettura.unifi.it/vp-475-incoming-students.html</t>
  </si>
  <si>
    <t>https://international.ui.ac.id/exchange-program/</t>
  </si>
  <si>
    <t>https://campus.cett.es/fitxers/MiniWebs/117/Study%20Abroad%20Students/Info%20sheets/CETTUB_INFOSHEET_latest.pdf</t>
  </si>
  <si>
    <t>chrome-extension://efaidnbmnnnibpcajpcglclefindmkaj/https://www.sc-politiche.unifi.it/upload/sub/mobilita-internazionale/2024-2025/Facts%20Sheet%20I%20FIRENZE01_2025-2026.pdf</t>
  </si>
  <si>
    <t>https://www.utb.cz/mdocs-posts/information-sheet/</t>
  </si>
  <si>
    <t>15 ects</t>
  </si>
  <si>
    <t>https://www.cett.es/en/tourism-and-hospitality/university-degrees</t>
  </si>
  <si>
    <t>N?A</t>
  </si>
  <si>
    <t>University of Zagreb</t>
  </si>
  <si>
    <t>크로아티아</t>
  </si>
  <si>
    <t>튀르키예</t>
  </si>
  <si>
    <t>https://www.unizg.hr/homepage/international-exchange/exchange-students/</t>
  </si>
  <si>
    <t>Minimum score of 570</t>
  </si>
  <si>
    <t>https://international.umontreal.ca/english/international-students/student-exchange-program/#choose-program-of-study</t>
  </si>
  <si>
    <t>16 credits</t>
  </si>
  <si>
    <t>9 credits</t>
  </si>
  <si>
    <t>NOT Applicable</t>
  </si>
  <si>
    <t>https://www.mtroyal.ca/ProgramsCourses/ProgramsOffered/</t>
  </si>
  <si>
    <t>https://www.unizg.hr/homepage/study-at-the-university-of-zagreb/degrees-studies-and-courses/studies-and-courses-in-english/</t>
  </si>
  <si>
    <t>https://www.unizg.hr/homepage/study-at-the-university-of-zagreb/academic-information/academic-calendar/</t>
  </si>
  <si>
    <t>CentraleSupélec</t>
  </si>
  <si>
    <t>University of Newcastle</t>
  </si>
  <si>
    <t>한양대 선발 기준</t>
    <phoneticPr fontId="3" type="noConversion"/>
  </si>
  <si>
    <t>https://www.newcastle.edu.au/study/international/study-with-us/study-abroad-and-exchange</t>
  </si>
  <si>
    <t>https://www.cityu.edu.hk/ceng/global-outreach/student-exchange</t>
  </si>
  <si>
    <t>Depends on the faculty</t>
  </si>
  <si>
    <t>90 overall</t>
  </si>
  <si>
    <t>na</t>
  </si>
  <si>
    <t>We recommend GPA point of at least 2.7/4.0.</t>
  </si>
  <si>
    <t>TOEFL 80 internet-based</t>
  </si>
  <si>
    <t>Level in French :
B1 level mandatory, B2 strongly recommended
Specific language requirements may apply to the faculty or program, for example (non-exhaustive):
- For the Performing and Visual Arts : C1
- For the Faculty of Letters : B2 (Undergraduate) / C1 (Graduate)
- For the faculty of Philosophy: B2 mandatory</t>
  </si>
  <si>
    <t>6.0  (No subtest below 6.0)</t>
  </si>
  <si>
    <t>6.5 overall</t>
  </si>
  <si>
    <t>https://www.unsw.edu.au/study/how-to-apply/english-language-requirements</t>
  </si>
  <si>
    <t>IELTS 6.0</t>
  </si>
  <si>
    <t>yes</t>
  </si>
  <si>
    <t>some health courses</t>
  </si>
  <si>
    <t>https://www.polyu.edu.hk/geo/docdrive/pdf/polyu_infosheet.pdf</t>
  </si>
  <si>
    <t>https://www.newcastle.edu.au/course</t>
  </si>
  <si>
    <t>No requirements</t>
  </si>
  <si>
    <t>Taylor's University</t>
  </si>
  <si>
    <t>University of North Dakota</t>
  </si>
  <si>
    <t>https://university.taylors.edu.my/en/student-life/student-exchange-and-mobility-programmes/inbound-student-exchange.html</t>
  </si>
  <si>
    <t>https://und.edu/academics/international-center/international-student-scholar-services/incoming-exchange.html</t>
  </si>
  <si>
    <t>https://und.edu/academics/international-center/international-student-scholar-services/_files/docs/2024_2025factsheet.pdf</t>
  </si>
  <si>
    <t>Students are allowed to take modules from one programme only</t>
  </si>
  <si>
    <t>NO</t>
  </si>
  <si>
    <r>
      <t xml:space="preserve">  1. 파견대학 결정에 따라 2026학년도 2학기 </t>
    </r>
    <r>
      <rPr>
        <b/>
        <u/>
        <sz val="10"/>
        <rFont val="맑은 고딕"/>
        <family val="3"/>
        <charset val="129"/>
        <scheme val="minor"/>
      </rPr>
      <t>파견대학 정보가 변경</t>
    </r>
    <r>
      <rPr>
        <sz val="10"/>
        <rFont val="맑은 고딕"/>
        <family val="3"/>
        <charset val="129"/>
        <scheme val="minor"/>
      </rPr>
      <t xml:space="preserve">되거나 </t>
    </r>
    <r>
      <rPr>
        <b/>
        <u/>
        <sz val="10"/>
        <rFont val="맑은 고딕"/>
        <family val="3"/>
        <charset val="129"/>
        <scheme val="minor"/>
      </rPr>
      <t>프로그램이 취소</t>
    </r>
    <r>
      <rPr>
        <sz val="10"/>
        <rFont val="맑은 고딕"/>
        <family val="3"/>
        <charset val="129"/>
        <scheme val="minor"/>
      </rPr>
      <t xml:space="preserve">될 수 있습니다.
  2. 파견대학 배정 이후 상대교에서 프로그램을 취소하는 경우 다음 모집에 재지원이 가능하나 </t>
    </r>
    <r>
      <rPr>
        <b/>
        <u/>
        <sz val="10"/>
        <rFont val="맑은 고딕"/>
        <family val="3"/>
        <charset val="129"/>
        <scheme val="minor"/>
      </rPr>
      <t>그 외의 경우(온라인 옵션 제공, 개인적인 사유로 인한 취소 등)에는 이후 국제처 프로그램에 참여할 수 없습니다</t>
    </r>
    <r>
      <rPr>
        <sz val="10"/>
        <rFont val="맑은 고딕"/>
        <family val="3"/>
        <charset val="129"/>
        <scheme val="minor"/>
      </rPr>
      <t xml:space="preserve">.
  3. </t>
    </r>
    <r>
      <rPr>
        <b/>
        <u/>
        <sz val="10"/>
        <rFont val="맑은 고딕"/>
        <family val="3"/>
        <charset val="129"/>
        <scheme val="minor"/>
      </rPr>
      <t>파견인원 및 지원자격의 모든 내용을 확인</t>
    </r>
    <r>
      <rPr>
        <sz val="10"/>
        <rFont val="맑은 고딕"/>
        <family val="3"/>
        <charset val="129"/>
        <scheme val="minor"/>
      </rPr>
      <t xml:space="preserve"> 후 해당 내용을 참고하여 지원하시기 바랍니다.
  4. 비고란에 </t>
    </r>
    <r>
      <rPr>
        <b/>
        <u/>
        <sz val="10"/>
        <rFont val="맑은 고딕"/>
        <family val="3"/>
        <charset val="129"/>
        <scheme val="minor"/>
      </rPr>
      <t>지원학과(프로그램) 및 지원 캠퍼스를 반드시 정확한 명칭으로 기재</t>
    </r>
    <r>
      <rPr>
        <sz val="10"/>
        <rFont val="맑은 고딕"/>
        <family val="3"/>
        <charset val="129"/>
        <scheme val="minor"/>
      </rPr>
      <t xml:space="preserve">하시기 바랍니다. (비고란 미입력으로 인한 불이익은 학생 본인 책임)
  5. 반드시 지원 대학의 국제처 홈페이지를 방문하여 </t>
    </r>
    <r>
      <rPr>
        <b/>
        <u/>
        <sz val="10"/>
        <color rgb="FFFF0000"/>
        <rFont val="맑은 고딕"/>
        <family val="3"/>
        <charset val="129"/>
        <scheme val="minor"/>
      </rPr>
      <t>교환학생 수강가능 강좌 및 지원가능 학과를 확인한 후 지원</t>
    </r>
    <r>
      <rPr>
        <sz val="10"/>
        <rFont val="맑은 고딕"/>
        <family val="3"/>
        <charset val="129"/>
        <scheme val="minor"/>
      </rPr>
      <t xml:space="preserve">하시기 바랍니다. 
  6. 지원자는 </t>
    </r>
    <r>
      <rPr>
        <b/>
        <u/>
        <sz val="10"/>
        <color rgb="FFFF0000"/>
        <rFont val="맑은 고딕"/>
        <family val="3"/>
        <charset val="129"/>
        <scheme val="minor"/>
      </rPr>
      <t>본교에서 요구하는 지원자격을 반드시 충족</t>
    </r>
    <r>
      <rPr>
        <sz val="10"/>
        <rFont val="맑은 고딕"/>
        <family val="3"/>
        <charset val="129"/>
        <scheme val="minor"/>
      </rPr>
      <t xml:space="preserve">해야 하며, </t>
    </r>
    <r>
      <rPr>
        <b/>
        <u/>
        <sz val="10"/>
        <color rgb="FFFF0000"/>
        <rFont val="맑은 고딕"/>
        <family val="3"/>
        <charset val="129"/>
        <scheme val="minor"/>
      </rPr>
      <t>추가적으로 상대교에서 제시하는 지원자격(GPA, 최소 어학기준, 선수과목 수강, 이수학점 충족, 최소 수료학기 등)도 충족</t>
    </r>
    <r>
      <rPr>
        <sz val="10"/>
        <rFont val="맑은 고딕"/>
        <family val="3"/>
        <charset val="129"/>
        <scheme val="minor"/>
      </rPr>
      <t>해야 합니다. 
  7. 어학성적표는 언어권별 한 개의 성적만 인정되며, 지원가이드의 &lt;외국어성적 변환표&gt;를 참조하여 가장 높은 성적을 제출하시기 바랍니다. (</t>
    </r>
    <r>
      <rPr>
        <b/>
        <u/>
        <sz val="10"/>
        <rFont val="맑은 고딕"/>
        <family val="3"/>
        <charset val="129"/>
        <scheme val="minor"/>
      </rPr>
      <t>신청기간 이후 어학 성적 교체 불가</t>
    </r>
    <r>
      <rPr>
        <sz val="10"/>
        <rFont val="맑은 고딕"/>
        <family val="3"/>
        <charset val="129"/>
        <scheme val="minor"/>
      </rPr>
      <t xml:space="preserve">) 
  8. 외국 국적자는 교환학생 파견 시 대한민국 비자가 취소되며, 귀국 시 다시 학생 비자를 받아 입국해야 합니다. 
  9. 파견교 정보는 참고용이며 실제와 차이가 있을 수 있습니다. 지원자격에 대한 최종 확인 책임은 지원자 본인에게 있으니 </t>
    </r>
    <r>
      <rPr>
        <b/>
        <u/>
        <sz val="10"/>
        <rFont val="맑은 고딕"/>
        <family val="3"/>
        <charset val="129"/>
        <scheme val="minor"/>
      </rPr>
      <t>반드시 파견 지원대학 홈페이지에서 지원자격을 확인</t>
    </r>
    <r>
      <rPr>
        <sz val="10"/>
        <rFont val="맑은 고딕"/>
        <family val="3"/>
        <charset val="129"/>
        <scheme val="minor"/>
      </rPr>
      <t>하시기 바랍니다.
  10. 매학기 학교별 경쟁률이 상이하므로 정확한 커트라인과 경쟁률은 공지가 어려우니 양해바랍니다.</t>
    </r>
    <phoneticPr fontId="3" type="noConversion"/>
  </si>
  <si>
    <t>Zurich University of Applied Sciences (School of Engineering)</t>
  </si>
  <si>
    <t>Hang Seng University of Hong Kong</t>
  </si>
  <si>
    <t>KU Leuven</t>
  </si>
  <si>
    <t>Universidad Carlos III de Madrid (UC3M)</t>
  </si>
  <si>
    <t>MCI - The Entrepreneurial School</t>
  </si>
  <si>
    <t>Universitat Politecnica de Valencia</t>
  </si>
  <si>
    <t>Hanken School of Economics</t>
  </si>
  <si>
    <t>Unniversity of Technology of Compiègne</t>
  </si>
  <si>
    <t>Pontificia Universidade Catolica de Minas Gerais</t>
  </si>
  <si>
    <t>Pole Universitaire Leonard de Vinci</t>
  </si>
  <si>
    <t>Rennes School of Business</t>
  </si>
  <si>
    <t>Universidad Pontificia Comillas</t>
  </si>
  <si>
    <t>LeTourneau University</t>
  </si>
  <si>
    <t>Ecole de Management de Normandie</t>
  </si>
  <si>
    <t>Mount Royal University</t>
  </si>
  <si>
    <t xml:space="preserve">State University of New York at Oswego </t>
  </si>
  <si>
    <t>Universidad Mayor</t>
  </si>
  <si>
    <t>칠레</t>
  </si>
  <si>
    <t>The University of New South Wales</t>
  </si>
  <si>
    <t>Boğaziçi University</t>
  </si>
  <si>
    <t xml:space="preserve">International School of Management (ISM) </t>
  </si>
  <si>
    <t>Vrije University Brussels</t>
  </si>
  <si>
    <t>City University of Hong Kong</t>
  </si>
  <si>
    <t>Vilnius Gediminas technical university (VILNIUS TECH)</t>
  </si>
  <si>
    <t xml:space="preserve">University of Stuttgart </t>
  </si>
  <si>
    <t>The University of Sheffield</t>
  </si>
  <si>
    <t>University of Bamberg</t>
  </si>
  <si>
    <t>Universite de Montreal (UdeM)</t>
  </si>
  <si>
    <t xml:space="preserve">EDHEC Business School </t>
  </si>
  <si>
    <t>Global E3 (GE3)</t>
  </si>
  <si>
    <t>University of Antwerp - Faculty of Business and Economics</t>
  </si>
  <si>
    <t>University of Applied Sciences and Arts Northwestern Switzerland – School of Business</t>
  </si>
  <si>
    <t>University of Central Oklahoma</t>
  </si>
  <si>
    <t>Universitas Indonesia</t>
  </si>
  <si>
    <t>Federal University of Minas Gerais</t>
  </si>
  <si>
    <t>The National University of Malaysia</t>
  </si>
  <si>
    <t>University of Applied Sciences Neu-Ulm</t>
  </si>
  <si>
    <t>Umea University</t>
  </si>
  <si>
    <t>Audencia Business School</t>
  </si>
  <si>
    <t xml:space="preserve">Kennesaw State University </t>
  </si>
  <si>
    <t>EPITA (Ecole Pour L'Informatique et les Techniques Avancees)</t>
  </si>
  <si>
    <t>University of Applied Sciences, Worms</t>
  </si>
  <si>
    <t>Hong Kong Baptist University</t>
  </si>
  <si>
    <t>Drexel University</t>
  </si>
  <si>
    <t>Simon Fraser University</t>
  </si>
  <si>
    <t>룩셈부르크</t>
  </si>
  <si>
    <t>University of Florence (Architecture)</t>
  </si>
  <si>
    <t>University of Florence (Political and Social Sciences)</t>
  </si>
  <si>
    <t>ISC Paris</t>
  </si>
  <si>
    <t>Stony Brook Univeristy</t>
  </si>
  <si>
    <t>Dublin City University</t>
  </si>
  <si>
    <t xml:space="preserve">CBS International Business School </t>
  </si>
  <si>
    <t>1학기/1년</t>
  </si>
  <si>
    <t>https://www.mci4me.at/en/international/exchange-incoming</t>
  </si>
  <si>
    <t>https://www.upv.es/entidades/OPII/infoweb/pi/info/818854normali.html</t>
  </si>
  <si>
    <t>https://www.hanken.fi/en/students/international-opportunities/incoming-exchange-students</t>
  </si>
  <si>
    <t>https://www.pucminas.br/internacional/ingles/StudyPUCMinas/Paginas/Application-Procedure.aspx</t>
  </si>
  <si>
    <t>1학기</t>
  </si>
  <si>
    <t>https://rrii.umayor.cl/estudiantes-extranjeros</t>
  </si>
  <si>
    <t>https://www.unsw.edu.au/study/international-students/study-abroad</t>
  </si>
  <si>
    <t>https://intl.bogazici.edu.tr/</t>
  </si>
  <si>
    <t>https://www.kimep.kz/diam/en/</t>
  </si>
  <si>
    <t>https://vilniustech.lt/for-international-students/for-exchange-students/studies/319312?#319319</t>
  </si>
  <si>
    <t>https://www.karlshochschule.de/</t>
  </si>
  <si>
    <t>https://sheffield.ac.uk/globalopps/inbound</t>
  </si>
  <si>
    <t>https://www.uni-bamberg.de/en/studies/exchange-students-eg-erasmus/</t>
  </si>
  <si>
    <t>https://international.umontreal.ca/english/international-students/student-exchange-program/</t>
  </si>
  <si>
    <t>chrome-extension://efaidnbmnnnibpcajpcglclefindmkaj/https://my.edhec.edu/sites/default/files/myedhec/Factsheet_EDHEC_BBA_25-26_2.pdf</t>
  </si>
  <si>
    <t>https://www.fhnw.ch/en/degree-programmes/business/international-experience/offers-for-incoming-students</t>
  </si>
  <si>
    <t>https://www.ufmg.br/dri/</t>
  </si>
  <si>
    <t>https://www.ukm.my/pha/exchange/</t>
  </si>
  <si>
    <t>https://www.umu.se/en/education/application-and-admission/future-exchange-students/</t>
  </si>
  <si>
    <t>https://apply.exchangestudents.audencia.com/_portal/incoming-students</t>
  </si>
  <si>
    <t xml:space="preserve">Please review the KSU Exchange Brochure. </t>
  </si>
  <si>
    <t>https://www.hs-worms.de/international/incoming-students/exchange-students</t>
  </si>
  <si>
    <t>https://intl.hkbu.edu.hk/student-exchange/incoming-students</t>
  </si>
  <si>
    <t>https://drexel.edu/global/student-programs/exchange-and-visiting-students/</t>
  </si>
  <si>
    <t>https://www.sfu.ca/students/exchange.html</t>
  </si>
  <si>
    <t>https://www.isepstudyabroad.org/</t>
  </si>
  <si>
    <t>https://www.iscparis.com/en/incoming-students/</t>
  </si>
  <si>
    <t>https://liu.se/en/article/application-procedure-faculty-of-arts-and-sciences</t>
  </si>
  <si>
    <t>https://english.dcu.ie/english-courses/</t>
  </si>
  <si>
    <t>배정 TO (2026-2)</t>
    <phoneticPr fontId="3" type="noConversion"/>
  </si>
  <si>
    <t>2026-2 (Fall) 일정</t>
    <phoneticPr fontId="3" type="noConversion"/>
  </si>
  <si>
    <t>추후
업데이트</t>
    <phoneticPr fontId="3" type="noConversion"/>
  </si>
  <si>
    <t>English B2 - Italian level B1</t>
  </si>
  <si>
    <t>https://gao.hsu.edu.hk/en/inbound-exchange/application/</t>
  </si>
  <si>
    <t>Equal to B2, according to CEFR</t>
  </si>
  <si>
    <t xml:space="preserve">Recommended to achieve B2 level (overall 72 or above). </t>
  </si>
  <si>
    <t>Completion of at least one academic year (two semesters) of undergraduate Business-, Management-, Information Systems- or Engineering-related studies</t>
  </si>
  <si>
    <t>min.72</t>
  </si>
  <si>
    <t>https://feb.kuleuven.be/eng/international/coming-to-feb-ku-leuven/nomination-application</t>
  </si>
  <si>
    <t>please see our English requirements here: https://www.mci4me.at/en/international/exchange-incoming</t>
  </si>
  <si>
    <t>at least 75 (or 4.0 on the new score scale)</t>
  </si>
  <si>
    <t>Equivalent of B2</t>
  </si>
  <si>
    <t>Ou Programas are in portuguese</t>
  </si>
  <si>
    <t>TOEFL*: iBT test: minimum score of 80 internet-based, and minimum subscore of 20 for speaking</t>
  </si>
  <si>
    <t>B2 level</t>
  </si>
  <si>
    <t>level B2 or equivalent</t>
  </si>
  <si>
    <t>Undergraduates: 	80 (minimum of 18 in each sub-score). MyBest Scores not considered. Graduates: 80 (minimum of 18 in each sub-score). Total score of at least 100</t>
  </si>
  <si>
    <t>3.0 / 4.0 GPA</t>
  </si>
  <si>
    <t>TOEFL iBT from 72 to 94</t>
  </si>
  <si>
    <t>TOEFL: 550 + TWE 4.5 for the paper-based test; 213+ TWE 4.5 for the computer-based test; 79 + TWE 24 for the Internet- based test</t>
  </si>
  <si>
    <t>https://www.vub.be/en/internationalisation-vub/international-relations-what-we-do-how-you-can-reach-us/exchange-erasmus-projects/come-vub-exchange#faq-item-16706</t>
  </si>
  <si>
    <t>2.7/4.0</t>
  </si>
  <si>
    <t>2.5/4.3</t>
  </si>
  <si>
    <t>TOEFL iBT 72</t>
  </si>
  <si>
    <t>English: minimum B2, at least 80 points</t>
  </si>
  <si>
    <t>We require grades of C or above in general. This means a GPA of minimum 2.0 on a 4.0 scale</t>
  </si>
  <si>
    <t xml:space="preserve">TOEFL iBT: Score 72  </t>
  </si>
  <si>
    <t>3.3/4.5</t>
  </si>
  <si>
    <t>Most schools: Overall score of 88 with a minimum of 19 in Listening, 20 in Reading, 22 in Speaking and 19 in Writing   Some schools differ, see here: https://sheffield.ac.uk/globalopps/inbound/apply/entry-requirements</t>
  </si>
  <si>
    <t>2.7/4.3</t>
  </si>
  <si>
    <t>&gt;85</t>
  </si>
  <si>
    <t>Language certificates are not required but we do recommend a minimum B2 level in English (CEFR)</t>
  </si>
  <si>
    <t>TOEFL iBT 60 or above</t>
  </si>
  <si>
    <t>Show Strong Academic Records</t>
  </si>
  <si>
    <t>TOEFL iBT 80</t>
  </si>
  <si>
    <t>minimum result of 88</t>
  </si>
  <si>
    <t>2.5 or 60/100</t>
  </si>
  <si>
    <t>2/4</t>
  </si>
  <si>
    <t>70  No subtest below:  R: 16 L: 16 S: 18 W: 21</t>
  </si>
  <si>
    <t>CGPA 2.5</t>
  </si>
  <si>
    <t>TOEFL iBT46</t>
  </si>
  <si>
    <t>TOEFL iBT: 79,</t>
  </si>
  <si>
    <t>Reading: 18/30; Listening: 17/30; Speaking: 20/30; Writing: 17/30 = Total: 72-120</t>
  </si>
  <si>
    <t>3.0/5</t>
  </si>
  <si>
    <t>72-94</t>
  </si>
  <si>
    <t>GPA: 2.5 of 4.0  </t>
  </si>
  <si>
    <t xml:space="preserve">79 IBT </t>
  </si>
  <si>
    <t>CGPA of at least 3.3/5 or equivalent</t>
  </si>
  <si>
    <t>TOEFL/TOEFL iBT® Special Home Edition : minimum of 570 (paper) or 90 (internet) or 237 (computer)</t>
  </si>
  <si>
    <t xml:space="preserve">80IBT </t>
  </si>
  <si>
    <t>n.a.</t>
  </si>
  <si>
    <t>equivalent to CEFR B1 (Bachelor) or B2 (Master)</t>
  </si>
  <si>
    <t>79 or above</t>
  </si>
  <si>
    <t>overall score of 88 or better with a minimum score of 20 in each of the four components.</t>
  </si>
  <si>
    <t>Total Score of 92</t>
  </si>
  <si>
    <t>Depends on program</t>
  </si>
  <si>
    <t>Recommended to achieve B2 level (500 or above).</t>
  </si>
  <si>
    <t>Recommended to achieve B2 level (overall 6.0 or above).</t>
  </si>
  <si>
    <t xml:space="preserve"> 543+</t>
  </si>
  <si>
    <t>min. B2 level</t>
  </si>
  <si>
    <t>at least 543</t>
  </si>
  <si>
    <t>EQUIVALENT</t>
  </si>
  <si>
    <t>Please see equivalence of 79 iBT</t>
  </si>
  <si>
    <t>IELTS*: Academic test: minimum overall band score of 6.0, and minimum subscore of 6.0 for speaking</t>
  </si>
  <si>
    <t xml:space="preserve">Undergrads: 6.5 or higher (minimum of 6.0 in each sub score). Electronic Submission Only. We do not accept IELTS Online. Grads: 6.5 (minimum of 6.5 in each sub score). Electronic Submission Only. We do not accept IELTS Online. </t>
  </si>
  <si>
    <t>From 5,5 to 6,5</t>
  </si>
  <si>
    <t>IELTS 5.5</t>
  </si>
  <si>
    <t>English: minimum B2</t>
  </si>
  <si>
    <t>English: minimum B2, at least 6.0 points</t>
  </si>
  <si>
    <t xml:space="preserve">TOEFL ITP: Score 543  </t>
  </si>
  <si>
    <t xml:space="preserve">IELTS–Test:  5.5  </t>
  </si>
  <si>
    <t>N/A - we can accept a paper version of the TOEFL IBT but cannot accept TOEFL IBT, see here: https://sheffield.ac.uk/undergraduate/apply/english-language</t>
  </si>
  <si>
    <t xml:space="preserve"> Most schools: IELTS 6.5 with 6.0 in each skill. Some schools differ, see here: https://sheffield.ac.uk/globalopps/inbound/apply/entry-requirements</t>
  </si>
  <si>
    <t>&gt;570</t>
  </si>
  <si>
    <t>min. 6.5</t>
  </si>
  <si>
    <t xml:space="preserve">paper based: 540; computer based: 213, </t>
  </si>
  <si>
    <t>433 - 542</t>
  </si>
  <si>
    <t>TOEFL ITP 540</t>
  </si>
  <si>
    <t xml:space="preserve">IELTS 6.0 </t>
  </si>
  <si>
    <t>TOEFL ITP/PBT: 550</t>
  </si>
  <si>
    <t>IELTS 6,0</t>
  </si>
  <si>
    <t xml:space="preserve"> TOEFL ITP: 550 </t>
  </si>
  <si>
    <t xml:space="preserve">or IELTS Band 6 </t>
  </si>
  <si>
    <t>(Toefl ITP does not include speaking skills and is therefore not accepted)</t>
  </si>
  <si>
    <t>N/a</t>
  </si>
  <si>
    <t>5.5-6.5</t>
  </si>
  <si>
    <t>We do not accept TOEFL(ITP)</t>
  </si>
  <si>
    <t xml:space="preserve">Last page in the link: https://gem.ntu.edu.sg/_customtags/ct_FileRetrieve.cfm?File_ID=21429  The proof of English Language proficiency is required only where English is not the medium of instruction in the home university. </t>
  </si>
  <si>
    <t>Last page in the link: https://gem.ntu.edu.sg/_customtags/ct_FileRetrieve.cfm?File_ID=21429  The proof of English Language proficiency is required only where English is not the medium of instruction in the home university.</t>
  </si>
  <si>
    <t>550 ITP</t>
  </si>
  <si>
    <t>PBT (Paper-Based Test): 550 or above</t>
  </si>
  <si>
    <t>6.0 or above</t>
  </si>
  <si>
    <t>overall band score of 6.5 with no part less than 6.0.</t>
  </si>
  <si>
    <t>Composite score of 6.5 or above, with no less than 6.0 in any one component. *Scores must be achieved in one sitting.</t>
  </si>
  <si>
    <t>기타 언어</t>
    <phoneticPr fontId="3" type="noConversion"/>
  </si>
  <si>
    <t>Please see language requirements on our website: https://uni-tuebingen.de/en/international/study-in-tuebingen/erasmus-and-exchange-to-tuebingen/application-and-preparation/</t>
  </si>
  <si>
    <t xml:space="preserve">
    Cambridge Proficiency: Pass or better        
    Cambridge Advanced: Grade C or better
    Cambridge First: Grade B or better
    TOEIC: at least 785
</t>
  </si>
  <si>
    <t>The exchange programme must be in coherence with the study programme at the home university. 
Please find an overview on our exchange programmes and their language of instruction on our Fact Sheet.</t>
  </si>
  <si>
    <t>For Spanish speaking studnet, B1 in Spanish</t>
  </si>
  <si>
    <t>Spanish B1 recommended</t>
  </si>
  <si>
    <t>https://www.unizg.hr/homepage/international-exchange/exchange-students/how-to-apply/</t>
  </si>
  <si>
    <t>No internationally recognised test score required, Hanyang can test their students themselves, but the language skills should correspond to 79 iBT.</t>
  </si>
  <si>
    <t>Ou Programas are in portuguese but we do not ask for certificates</t>
  </si>
  <si>
    <t>Cambridge Pearson PTE</t>
  </si>
  <si>
    <t>Only for students who want to take French-taught business courses: DEFL B2</t>
  </si>
  <si>
    <t>We can accept a document from the home univeristy that confirms that a student has a B2 level in English or French.</t>
  </si>
  <si>
    <t>For all other scores - https://www.letu.edu/global-initiatives/exchange-process.html#ContentBlock-2-3</t>
  </si>
  <si>
    <t>we accept a letter from you stating the level of the student, equivalent to ielts 6</t>
  </si>
  <si>
    <t>Found here: https://www.mtroyal.ca/Admission/AdmissionRequirements/english-language-proficiency-requirement-institutional.htm</t>
  </si>
  <si>
    <t>https://studyabroad.ncsu.edu/incoming-student/english-proficiency/</t>
  </si>
  <si>
    <t>Level B2 of Spanish language</t>
  </si>
  <si>
    <t>The nomination deadline for School of Design is 15 Mar, for other disciplines the nomination deadline is 26 Mar. Incoming Exchange students are not required to submit proof of English proficiency at the time of application. However, students may be asked to provide such a document when needed.</t>
  </si>
  <si>
    <t>English required for courses taught in English: any level with equivalence B2 CEFR. Spanish language requirements  (B2) just for those courses held within the Degree in Spanish Philology</t>
  </si>
  <si>
    <t xml:space="preserve">•	TOEFL internet-based: 80+ 
•	TOEFL paper version: 550+
•	TOEIC (out of 990): 400+ (listening), 385+ (reading)
•	IELTS 6,0
•	Cambridge B2
•	Written confirmation of home-university certifying very good oral and written English skills of minimum B2
</t>
  </si>
  <si>
    <t>Please see factsheet</t>
  </si>
  <si>
    <t>We only need proof of B2 level in French if the student wants to take courses taught in French at UNIL.</t>
  </si>
  <si>
    <t>IELTS 5.5, TOEFL Paper 510, TOEFL iBT 72, TOEFL CBT 180, TOEIC 785, Duolingo English test online 100 or a certificate issued by the language department of your Home University.</t>
  </si>
  <si>
    <t>Exchange students are not required to submit proof of their English proficiency, but we ask partner institutions to select students with a minimum of B2 CEFR</t>
  </si>
  <si>
    <t>See here: https://sheffield.ac.uk/undergraduate/apply/english-language</t>
  </si>
  <si>
    <t xml:space="preserve">Please note that: 
- For students staying for one semester on a visitor visa (not a student visa), an English language level confirmation (minimum B2 on the CEFR) at nomination stage can be accepted in place of an English language qualification or test.  See here for further info: https://sheffield.ac.uk/globalopps/inbound/partner
- Master's level students cannot apply for postgraduate-level modules and should apply to undergraduate-level modules only. We can accept Master's students as long as they are willing to study undergraduate modules. </t>
  </si>
  <si>
    <t>B1/B2 level in French</t>
  </si>
  <si>
    <t xml:space="preserve">Our language requirements are EITHER a minimum CEFR level of B2 in English OR a minimum CEFR level of B1 in German. Students are also required to have at least one year of prior university education. </t>
  </si>
  <si>
    <t>B2 French for most programs, some exceptions: https://international.umontreal.ca/english/international-students/student-exchange-program/#eligibility. B2 English for English Studies program.</t>
  </si>
  <si>
    <t>we accept a letter from the home university confirming B2 level.</t>
  </si>
  <si>
    <t>Duolingo English Test - Undergraduate: 95</t>
  </si>
  <si>
    <t xml:space="preserve">Master's Students will be admitted as undergraduate and are limited to 2 graduate courses per semester. </t>
  </si>
  <si>
    <t>a personally signed letter from a lecturer or international coordinator confirming the student has achieved a B2 level in English is also sufficient.</t>
  </si>
  <si>
    <t>Language certificates are not required but we do recommend a minimum B2 level in English, and minimum B1 level in French (CEFR) for courses taught in French.</t>
  </si>
  <si>
    <t>Applicants should have completed at least 4 semesters of studies at the home university prior to the exchange. Applicants should be pursuing a Bachelor/Master's degree in Science and/or Engineering at the home university.</t>
  </si>
  <si>
    <t>refer to application : www.hs-esslingen.de/incoming</t>
  </si>
  <si>
    <t xml:space="preserve">Students need to fulfil the entry level requirements for each course they apply for. </t>
  </si>
  <si>
    <t>student needs to have at least 2 semesters completed prior to study abroad</t>
  </si>
  <si>
    <t>Cambridge Certificate of Advanced English (CAE): passed
Cambridge Certificate of Proficiency in English (CPE): passed
You hold an upper secondary school certificate or a BSc degree that has been fully taught in English from USA, Canada, Australia, New Zealand, England, Scotland or Ireland
You are enrolled in BSc or MSc degree fully taught in English
You are a native speaker of English</t>
  </si>
  <si>
    <t>TEPS or DUOLINGO certificate</t>
  </si>
  <si>
    <t>International Cambridge Certificate B2</t>
  </si>
  <si>
    <t>students can simply use the HNU language certificate (see download section) filled by your language department or your English teacher: https://www.hnu.de/fileadmin/user_upload/5_Internationales/International_Incomings/Bewerbung/HNU_Certificate_of_Language_Ability.pdf</t>
  </si>
  <si>
    <t>Students have too meet the requirements for the courses they apply to.</t>
  </si>
  <si>
    <t xml:space="preserve">https://www.kennesaw.edu/admissions/undergraduate/admission-requirements/international.php </t>
  </si>
  <si>
    <t xml:space="preserve">Last page in the link: https://gem.ntu.edu.sg/_customtags/ct_FileRetrieve.cfm?File_ID=21429 
The proof of English Language proficiency is required only where English is not the medium of instruction in the home university. </t>
  </si>
  <si>
    <t>Housing information: All students on coursework exchange may submit an application for on-campus housing and allocation is not guaranteed. Research exchange students are not eligible for campus housing in view of their varied project dates. Refer to 'Housing' tab in the link https://gem.ntu.edu.sg/index.cfm?FuseAction=Programs.ViewProgramAngular&amp;id=10006 and the link https://www.ntu.edu.sg/life-at-ntu/accommodation/undergraduate-housing</t>
  </si>
  <si>
    <t>Strong background in programming, algoritmic and mathematics</t>
  </si>
  <si>
    <t>Student will have completed at least one year of university study by the time they join HKBU. For English proficiency, a letter issued by home institution certifying that student possess an adequate level of proficiency in English for success in studies will also be acceptable.</t>
  </si>
  <si>
    <t>TOEFL CBT - 214
TOEFL PBT - 550
TOEFL Essentials - 9
Cambridge - 180</t>
  </si>
  <si>
    <t>Cambridge Certificate of Proficiency in English (CAP) Overall score of 180 with a minimum of 169 in all components.
Cambridge Certificate of Advanced English (CAE) Overall score of 180 with a minimum of 169 in all components.</t>
  </si>
  <si>
    <t>All eligibility requirements depend on which programs students are applying for - please see the details on each program page.</t>
  </si>
  <si>
    <t>email</t>
  </si>
  <si>
    <t>not</t>
  </si>
  <si>
    <t>https://hsuhk.sharepoint.com/:b:/t/GAO-Intranet/EeQHSHbJq2FEraHqicDD4wkB2YvmTtKdwwVggJcGzgK5Ug?e=zRPQ9m</t>
  </si>
  <si>
    <t>No specific course restrictions are applied but students are advised to check pre-requisite(s) of individual subjects.</t>
  </si>
  <si>
    <t>https://admissions.ktu.edu/wp-content/uploads/sites/299/2025/02/KTU-erasmus-factsheet-2025-linked.pdf</t>
  </si>
  <si>
    <t>I will send Factsheet by e-mail</t>
  </si>
  <si>
    <t>Only the programmes listed here are applicable: https://www.cbs.de/en/international/certificate-programmes</t>
  </si>
  <si>
    <t>check what is possible and what not:https://feb.kuleuven.be/eng/international/coming-to-feb-ku-leuven/courses</t>
  </si>
  <si>
    <t>https://drive.google.com/file/d/1NBqOfwo_pTbGx4v097-u-ygOD0BLSNvi/view?usp=sharing</t>
  </si>
  <si>
    <t>not applicable (some courses for new the Degrees are still not open)</t>
  </si>
  <si>
    <t>https://www.mci4me.at/images/International/Incomings/MCI_Fact_Sheet_For_Incoming_Students_2025.pdf</t>
  </si>
  <si>
    <t>all departments visible on our courses in English website are eligible: https://www.mci4me.at/en/international/courses-in-english</t>
  </si>
  <si>
    <t>Please see course restrictions on our website: https://uni-tuebingen.de/en/international/study-in-tuebingen/erasmus-and-exchange-to-tuebingen/courses-for-exchange-students/#c1657356</t>
  </si>
  <si>
    <t>Please see our Fact Sheet for available exchange programmes.</t>
  </si>
  <si>
    <t>BIOTECHNOLOGY</t>
  </si>
  <si>
    <t>Ingeniería de Telecomunicaciones (Telecom Engineering, SPANISH ONLY)
Biomedical Engineering (English AND Spanish available)</t>
  </si>
  <si>
    <t>Mobility students must select a minimum of 50% of subjects from the faculty in which they have been nominated (any degree within the main faculty). • They can only choose subjects taught in the semester in which they will carry out the mobility. • Undergraduate students can only select undergraduate courses. • Master's Degree students can only select Master's Degree courses from their Faculty, which will be validated by the Coordinator of the Master's Degree. They may select undergraduate courses from any Faculty, with at least the 50% of the subjects from their main Faculty . • The TFG, TFM and Practicums subjects will be validated by the coordinators of these subjects. • The courses of the Faculties of Fine Arts and Medicine are only available for the students of these faculties. • The courses of the Faculty of Health Sciences and the School of Architecture, when it is not the main faculty of the student, will be approved by the coordinator of these faculties. • The Subjects of the 2nd and 3rd year of the Degree in Physical Activity and Sports Sciences are only offered to students of the Faculty of Education. • Subjects of the 6th year of Medicine are not offered to mobility students.</t>
  </si>
  <si>
    <t>https://drive.google.com/drive/folders/1us7Kqrnb1tkY3uqJbWDXSY41dyzbnlbd?usp=share_link</t>
  </si>
  <si>
    <t>Hanken is a Business School, hence only Business and Economics sciences are offered</t>
  </si>
  <si>
    <t>Sent by email</t>
  </si>
  <si>
    <t xml:space="preserve">All the Departments are open to international students </t>
  </si>
  <si>
    <t>No Game, Hotel and Facility, Logistics and leisure programmes</t>
  </si>
  <si>
    <t xml:space="preserve">Will be sent by email </t>
  </si>
  <si>
    <t>Programs taught in French but we don't promote them.</t>
  </si>
  <si>
    <t>https://aloha.rennes-sb.com/hc/en-us/articles/22485182771868-FACT-SHEET</t>
  </si>
  <si>
    <t>Specific programmes designed for Exchange students</t>
  </si>
  <si>
    <t>We are a business school so we only teach business related courses (finance, HR, marketing...)</t>
  </si>
  <si>
    <t>We are updating the information and we send it to the partners in the end of January</t>
  </si>
  <si>
    <t>Incoming students can attend undergraduate courses offered by the Faculties of Business and Humanities and also the School of Engineering</t>
  </si>
  <si>
    <t xml:space="preserve">all are available </t>
  </si>
  <si>
    <t>postgraduate master programs, taking tuition fees (Mediation, Humanitarian Law)</t>
  </si>
  <si>
    <t>To be emailed in the new year</t>
  </si>
  <si>
    <t>https://drive.google.com/file/d/1VO6ic7SG7HPkovanJ6TtU8GjVVYBniuk/view</t>
  </si>
  <si>
    <t>all</t>
  </si>
  <si>
    <t>https://www.canva.com/design/DAGxGzTeQh0/8M6vKQ4hb0wYGRBgi6dKHw/view?utm_content=DAGxGzTeQh0&amp;utm_campaign=designshare&amp;utm_medium=link2&amp;utm_source=uniquelinks&amp;utlId=hf2c69ba039</t>
  </si>
  <si>
    <t xml:space="preserve">Veterinary Medicine, Biomedical Engineering. Some departments have competitive courses to enter including Computer Science and Electrical Engineering. </t>
  </si>
  <si>
    <t>By e-mail</t>
  </si>
  <si>
    <t>https://sway.cloud.microsoft/LUMxAzRKDvS7n8nE?ref=Link</t>
  </si>
  <si>
    <t>Courses not open for exchange
MBA Coursework
Courses that are part of the Honours degree (4xxx)
UNSW Canberra at the Australian Defence Force Academy (all courses starting with ‘z’)
UNSW College
Doctor of Medicine program</t>
  </si>
  <si>
    <t>https://www.cuhk.edu.hk/oal/CUHK_Incoming_Brochure.pdf</t>
  </si>
  <si>
    <t>https://www.udl.cat/export/sites/universitat-lleida/ca/serveis/ori/.galleries/Documents-ORI/Fitxers_descxrrega/docs_fo-ll/Fact_sheet/FACTSHEET-ENG-26-27.pdf</t>
  </si>
  <si>
    <t>Medicine, Nursing, Phisiotherapy</t>
  </si>
  <si>
    <t>https://intl.bogazici.edu.tr/sites/intl.bogazici.edu.tr/files/bogazici_university_fact_sheet_2025-2026_8.pdf</t>
  </si>
  <si>
    <t>All courses are taught in English. Some courses at the Department
of Law and Department of Turkish Language and Literature are
offered in Turkish.</t>
  </si>
  <si>
    <t>Sent via email</t>
  </si>
  <si>
    <t>List of open fields here https://www.vub.be/en/internationalisation-vub/international-relations-what-we-do-how-you-can-reach-us/exchange-erasmus-projects/come-vub-exchange#studyfields</t>
  </si>
  <si>
    <t>https://www.unil.ch/unil/en/home/menuinst/etudier/mobilite-et-echange/pat-unil/infos-pour-coordinatrices-et-coordinateurs-mobilite.html</t>
  </si>
  <si>
    <t>•	School of Medicine (except specific SEMP agreements)
•	School of Criminal Justice
•	Except the Master of Law in Criminology and Security
•	Bachelor/Master in Forensic Sciences: a written request must be sent to the Direction of the School
•	Ali MSc offered by the School of Biology
•	MSc in Accounting, Control and Finance
•	MSc in Human Taphonomy
•	Executive programmes (EMBA, MAS, etc.)
•	Sorne courses may require prerequisites and approval of the Master programme's director</t>
  </si>
  <si>
    <t xml:space="preserve">CENG and </t>
  </si>
  <si>
    <t>will send</t>
  </si>
  <si>
    <t>Students may select courses from different faculties (excluding Klaipėda Campus students); however, please note that timetable conflicts may occur.</t>
  </si>
  <si>
    <t>see agreement</t>
  </si>
  <si>
    <t>Exchange Students only for International Business and International Relations</t>
  </si>
  <si>
    <t>No link available</t>
  </si>
  <si>
    <t>* EM Strasbourg: Ecole de Management
• DLADL: Department of Teaching French as Foreign Language (Faculty of Languages)
• IRIUS and IEMT : Departments of Translation &amp; Interpretation and International Relations (Faculty of Languages)
• IIEF: International Institute for French Studies
• CEIPI: Center for international intellectual property studies
• CUEJ : School of journalism</t>
  </si>
  <si>
    <t>Please use 2025/26 for now. 26/27 factsheet to be published in March 2026</t>
  </si>
  <si>
    <t>School of Allied Health Professions, Nursing and Midwifery
School of Clinical Dentistry
School of Medicine and Population Health
See here for further info, some faculties and schools have other restrictions: https://sheffield.ac.uk/globalopps/inbound/apply/what</t>
  </si>
  <si>
    <t>Architecture and Sustainable Design (ASD)</t>
  </si>
  <si>
    <t>sent by email</t>
  </si>
  <si>
    <t>Will be sent via e-mail</t>
  </si>
  <si>
    <t>Link available here: https://international.umontreal.ca/english/international-students/student-exchange-program/</t>
  </si>
  <si>
    <t xml:space="preserve">NA </t>
  </si>
  <si>
    <t>Medicine and Nursing</t>
  </si>
  <si>
    <t>Will send via email</t>
  </si>
  <si>
    <t>https://medialibrary.uantwerpen.be/files/1669/e34d3a88-0c60-40cb-a26d-5a689133f14c.pdf?_gl=1*1ezgglz*_gcl_au*NDE2MTI1MjA5LjE3NTc5MjI2MjA.*_ga*NTczMDE1NDczLjE3MTgwMjI4NDk.*_ga_WVC36ZPB1Y*czE3NjAwODE1MDUkbzExNyRnMSR0MTc2MDA4MTk4NiRqNDUkbDAkaDYxMzQxOTAw</t>
  </si>
  <si>
    <t>https://www.hs-pforzheim.de/fileadmin/user_upload/uploads_redakteur/International/Dokumente/AAA/FactSheet_HS_PF_Exchange_2026.pdf</t>
  </si>
  <si>
    <t>not applicable</t>
  </si>
  <si>
    <t>https://www.fhnw.ch/++api++/en/degree-programmes/business/international-experience/media/factsheet_fhnw_school-of-business_undergraduates.pdf/@@inline-file/file</t>
  </si>
  <si>
    <t xml:space="preserve">Students cannot take courses outside of the business faculty. </t>
  </si>
  <si>
    <t>We will send the fact sheet by email to the address provided.</t>
  </si>
  <si>
    <t>The only program opened to exchange students is CentraleSupélec's Engineering Program ( 2nd year / corresponding to the 4th year of higher education studies in France)</t>
  </si>
  <si>
    <t>will be sent in due course</t>
  </si>
  <si>
    <t>https://liu.se/en/article/information-material-for-partner-universities-arts-and-sciences</t>
  </si>
  <si>
    <t xml:space="preserve">Only courses open to exchange students. </t>
  </si>
  <si>
    <t>Only the courses listed on our website can be taken by exchange students</t>
  </si>
  <si>
    <t>https://ucok-my.sharepoint.com/:b:/g/personal/jreyes13_uco_edu/IQAo_7MNRnayQr3Lh-vMG7QhAVCl6wjJvFRhr3Lu5fLKDyg?e=ZG3uYe</t>
  </si>
  <si>
    <t>nursing, accounting</t>
  </si>
  <si>
    <t>Faculty of Economics and Business, Faculty of Humanities, Faculty of Law, Faculty of Engineering, Faculty of Computer Science, Faculty of Psychology</t>
  </si>
  <si>
    <t>chrome-extension://efaidnbmnnnibpcajpcglclefindmkaj/https://en.itu.dk/-/media/EN/Programmes/Exchange/ITU-Fact-Sheet-2026-2027-pdf.pdf</t>
  </si>
  <si>
    <t>No restrictions</t>
  </si>
  <si>
    <t>file:///C:/Users/raphaellac/Desktop/Information%20Sheet%202025_2.pdf</t>
  </si>
  <si>
    <t xml:space="preserve">There are no restrictions for most courses.
Students must fill out UFMG’s Study Plan, indicating which courses and/or activities they wish to attend at UFMG. Study Plans will then be evaluated by the course coordinators and afterwards the candidates will be informed about their acceptance.
It is important to mention that the Faculty of Medicine at UFMG is undergoing changes in the curriculum (as required by the Ministry of Education). Therefore, each request for mobility exchange will be analyzed by the course Collegiate, as there are subjects that will undergo changes, but the syllabus have not yet been defined. </t>
  </si>
  <si>
    <t>https://www.newcastle.edu.au/__data/assets/pdf_file/0011/1009946/UON-Information-Sheet-2026-27.pdf</t>
  </si>
  <si>
    <t>Will email later</t>
  </si>
  <si>
    <t>will email later</t>
  </si>
  <si>
    <t>health management</t>
  </si>
  <si>
    <t>https://www.haaga-helia.fi/sites/default/files/file/2025-12/haaga-helia-fact-sheet-2026-27_general.pdf</t>
  </si>
  <si>
    <t>Sports, vocational studies</t>
  </si>
  <si>
    <t>https://www.umu.se/en/collaboration-and-innovation/for-partner-universities/</t>
  </si>
  <si>
    <t xml:space="preserve">All courses offered to Exchange students are found here: </t>
  </si>
  <si>
    <t>https://www.calameo.com/read/000137206d455bbe09c2f</t>
  </si>
  <si>
    <t xml:space="preserve"> Brochure </t>
  </si>
  <si>
    <t>Some programs require separate admission,
including but not limited to Art, Architecture, Music,
Dance, MBA, and Theater programs. Nursing classes
are not available via exchange. Some classes may
not be offered each semester. COURSES ARE
NEVER GUARANTEED.</t>
  </si>
  <si>
    <t>https://gem.ntu.edu.sg/_customtags/ct_FileRetrieve.cfm?File_ID=21429 (AY26/27 version is not available yet)</t>
  </si>
  <si>
    <t>Refer to the link https://gem.ntu.edu.sg/index.cfm?FuseAction=Programs.ViewProgramAngular&amp;id=10006 (Coursework tab) for the restricted programmes and courses.</t>
  </si>
  <si>
    <t>https://liu.se/en/collaboration/international-collaboration</t>
  </si>
  <si>
    <t>https://www.hs-worms.de/fileadmin/media/hochschule/International_Center/Profile_Data/Fact_Sheet_HS_Worms_2025-26_UPDATE.pdf</t>
  </si>
  <si>
    <t>https://intl.hkbu.edu.hk/f/upload/3770/HKBU_Quick_Reference_Guide-_Fact_Sheet_-202526.pdf</t>
  </si>
  <si>
    <t>https://www.canva.com/design/DAGwn1b7Ygc/2KkgKXanrZ9sWL5g511r7A/view?utm_content=DAGwn1b7Ygc&amp;utm_campaign=designshare&amp;utm_medium=link&amp;utm_source=viewer</t>
  </si>
  <si>
    <t>Architecture, Graduate Law Program, Medicine. Limited availability in College of Nursing and Health Professions, the SChool of Public Health &amp; the School of Education.</t>
  </si>
  <si>
    <t>https://www.sfu.ca/students/exchange/sa-partners.html</t>
  </si>
  <si>
    <t>Please review: https://www.sfu.ca/students/exchange/academic-information/restricted-subjects-and-courses.html</t>
  </si>
  <si>
    <t>https://www.dcu.ie/</t>
  </si>
  <si>
    <t>Only in the Faculty that is in the agreement</t>
  </si>
  <si>
    <t>Bachelor programmes that are taught in other languages such as French, German and Luxembourgish programmes</t>
  </si>
  <si>
    <t>Depends on program - please see individual program pages for details</t>
  </si>
  <si>
    <t xml:space="preserve">In principle, students may also choose Bachelor modules at the Department ZHAW School of Management and Law (SML). However, there are very important points to consider:
	· At the ZHAW School of Engineering (SoE) students must take a minimum of 15 ECTS worth of modules. SML modules do not count towards this minimum and are additional ECTS.
	· Students will initially be placed on a waiting list for SML modules and will receive feedback about their admission only at the start of the semester, depending on capacity.
	· If there are scheduling conflicts between SML and SoE modules, SML modules must be dropped to ensure the 15 ECTS at SoE is met.
	· Registration for SML modules must be done through SoE by listing the desired modules on the provided application link.
	· Students can register or drop modules at SoE up to two weeks after the semester starts, but SML has different deadlines.
	· Early Leavers in Spring Semester cannot take any SML modules as SML does not offer exams earlier.
	· We cannot guarantee that exams will be scheduled at different times; in the worst case, they may take place simultaneously. Therefore, I recommend carefully reviewing the SML module descriptions and selecting modules that do not include a final exam.
</t>
  </si>
  <si>
    <t>30 ects/semester</t>
  </si>
  <si>
    <t>https://www.architettura.unifi.it/upload/sub/Erasmus/OFFERTA%20FORMATIVA%2025-26_aggiornato.pdf</t>
  </si>
  <si>
    <t>Students have to take 30 credits on campus due to the residence permit rule. Swedish for international students 1 and 2 are not counted in the part of minimum credits because these courses are taught in a distance format.</t>
  </si>
  <si>
    <t>Mixing modules from different certificates is not permitted.
Comment on Accommodation: CBS offers places in the student dormitory, but availability is limited.</t>
  </si>
  <si>
    <t>recommended 18</t>
  </si>
  <si>
    <t>app. 30</t>
  </si>
  <si>
    <t>https://feb.kuleuven.be/eng/international/coming-to-feb-ku-leuven/courses</t>
  </si>
  <si>
    <t>6 ECTS/SEMESTER</t>
  </si>
  <si>
    <t>30 ECTS/SEMESTER</t>
  </si>
  <si>
    <t>https://www.uc3m.es/studies/international-exchage-students-in-UC3M/bachelor-degrees/course-offer</t>
  </si>
  <si>
    <t>students can choose courses from one degree program, plus may add courses from the International Program, if wanted</t>
  </si>
  <si>
    <t>https://www.mci4me.at/en/international/courses-in-english</t>
  </si>
  <si>
    <t>no requirements</t>
  </si>
  <si>
    <t>no restrictions</t>
  </si>
  <si>
    <t>https://www.upv.es/entidades/OPII/infoweb/pi/info/818871normali.html</t>
  </si>
  <si>
    <t>18 or 3 courses</t>
  </si>
  <si>
    <t>40 or 7 courses</t>
  </si>
  <si>
    <t>Students can combine courses from bachelors that share faculty and campus</t>
  </si>
  <si>
    <t>18 ECTS per semester</t>
  </si>
  <si>
    <t>36ECTS per semester</t>
  </si>
  <si>
    <t>https://sara.uma.es/pls/apex/f?p=101:1:2132630866758352::NO::INICIO_LOV_TIPO_ESTUDIO:3</t>
  </si>
  <si>
    <t>https://www.hanken.fi/en/students/international-opportunities/incoming-exchange-students/studies</t>
  </si>
  <si>
    <t xml:space="preserve">Mechanical engineering, Computer science, Urban engineering: courses in English possible. Biological engineering and chemical process engineering: courses in French only </t>
  </si>
  <si>
    <t>https://www.pucminas.br/internacional/ingles/Paginas/About-Us.aspx</t>
  </si>
  <si>
    <t xml:space="preserve">No requirements </t>
  </si>
  <si>
    <t>The course list will be sent by email.</t>
  </si>
  <si>
    <t>depends on the programme</t>
  </si>
  <si>
    <t>https://aloha.rennes-sb.com/hc/en-us/sections/360004232819-Exchange-Transfer-of-Credits-Course-lists</t>
  </si>
  <si>
    <t>20 ECTS per semester</t>
  </si>
  <si>
    <t>35 ECTS per semester</t>
  </si>
  <si>
    <t>There is no minimum or maximum number of ECTS required for exchange students. They usually enroll in around 30 ECTS</t>
  </si>
  <si>
    <t xml:space="preserve">https://www.comillas.edu/en/programas-para-alumnos-de-intercambio/ </t>
  </si>
  <si>
    <t>30 ects</t>
  </si>
  <si>
    <t>no regulations</t>
  </si>
  <si>
    <t>--</t>
  </si>
  <si>
    <t>https://www.europa-uni.de/en/studium/studienangebot/index.html</t>
  </si>
  <si>
    <t>9 credits (3 courses)</t>
  </si>
  <si>
    <t>15 credits (5 courses)</t>
  </si>
  <si>
    <t>https://catalog.oswego.edu/content.php?catoid=62&amp;navoid=8542</t>
  </si>
  <si>
    <t>12 for undergraduates and 9 for graduates</t>
  </si>
  <si>
    <t>Students should have at least 4 backup courses in case we cannot place them in their top 5 course choices</t>
  </si>
  <si>
    <t>https://webappprd.acs.ncsu.edu/php/coursecat/</t>
  </si>
  <si>
    <t>https://www.umayor.cl/um/oferta-academica</t>
  </si>
  <si>
    <t>https://www.unsw.edu.au/student/managing-your-studies/key-dates/academic-calendar/inbound-exchange</t>
  </si>
  <si>
    <t>https://www.unsw.edu.au/about-us/excellence/faculties-schools https://www.handbook.unsw.edu.au/
https://sway.cloud.microsoft/LUMxAzRKDvS7n8nE?ref=Link</t>
  </si>
  <si>
    <t>https://www.oalglobal.cuhk.edu.hk/academics/</t>
  </si>
  <si>
    <t>Not all the subjects are open to all inbound exchange students. There are courses that only open to exchange students who are admitted to the offering department and specific programme (some with pre-requisite).</t>
  </si>
  <si>
    <t>It is up to the home university</t>
  </si>
  <si>
    <t>Not advisable to take more than 24 per semester</t>
  </si>
  <si>
    <t>https://www.udl.cat/ca/en/studies/</t>
  </si>
  <si>
    <t>Erasmus and Exchange students are expected to take 4 - 6 courses, equaling 17- 21 Bogazici credits (approximately 20-30 ECTS).</t>
  </si>
  <si>
    <t>http://registration.bogazici.edu.tr/schedule.htm</t>
  </si>
  <si>
    <t>24-30 ECTS</t>
  </si>
  <si>
    <t>https://www.uni-konstanz.de/en/international-office/study-in-konstanz/academic-offer-for-international-students/courses-taught-in-english/</t>
  </si>
  <si>
    <t>30 ECTS/semester</t>
  </si>
  <si>
    <t>https://www.vub.be/en/internationalisation-vub/international-relations-what-we-do-how-you-can-reach-us/exchange-erasmus-projects/come-vub-exchange#studyfields</t>
  </si>
  <si>
    <t>https://www.unil.ch/unil/en/home/menuinst/etudier/mobilite-et-echange/etudiantes-et-etudiants-internationaux/etudiantes-et-etudiants-d-echange/etudier-a-lunil.html</t>
  </si>
  <si>
    <t>https://www.cityu.edu.hk/ceng/</t>
  </si>
  <si>
    <t>9US/15ECTS</t>
  </si>
  <si>
    <t>18US/30ECTS</t>
  </si>
  <si>
    <t>Bachelor students: https://www.kimep.kz/current-students/en/course-offerings/
Master's and PhD students here: [KIMEP Academics](https://www.kimep.kz → Academics).</t>
  </si>
  <si>
    <t>Master cycle students are allowed to take Bachelor cycle courses. Bachelor cycle students can take Master courses only if they have basic knowledge of the topic.</t>
  </si>
  <si>
    <t>www.hanze.nl/exchange</t>
  </si>
  <si>
    <t>18 ECTS</t>
  </si>
  <si>
    <t>none other than a solid Englisch level of B2 or above</t>
  </si>
  <si>
    <t>https://www.karlshochschule.de/de/studiengaenge</t>
  </si>
  <si>
    <t>30 for one semester</t>
  </si>
  <si>
    <t>30 for each semester</t>
  </si>
  <si>
    <t>https://www.uni-stuttgart.de/en/university/faculties-institutes/</t>
  </si>
  <si>
    <t>20 ECTS (40 UoS)</t>
  </si>
  <si>
    <t>30 ECTS (60 UoS)</t>
  </si>
  <si>
    <t>See here for a list of potential Exchange Modules: https://docs.google.com/spreadsheets/d/1pF_IQKTCZghpVxKsfLgaIYAe1r5T7qcH/edit?gid=168779507#gid=168779507
NB: This list is true for 2025/26 and the 2026/27 list will be published in April 2026 at the latest. Students can use this list as a general guide for now.</t>
  </si>
  <si>
    <t>https://sheffield.ac.uk/globalopps/inbound/apply/what</t>
  </si>
  <si>
    <t>24 SUTD credits</t>
  </si>
  <si>
    <t>48 SUTD credits</t>
  </si>
  <si>
    <t>https://bit.ly/SUTDsubjcatalogue</t>
  </si>
  <si>
    <t>https://www.univ-paris8.fr/-Etudes-diplomes-</t>
  </si>
  <si>
    <t>https://international.umontreal.ca/english/international-students/student-exchange-program/#academic-information</t>
  </si>
  <si>
    <t>30 ECTS per semester are recommanded</t>
  </si>
  <si>
    <t>https://und.edu/programs/index.html?search=&amp;locations=on-campus,online</t>
  </si>
  <si>
    <t xml:space="preserve">Restricted Course: 
-AMS 325
-BUS 301, BUS 487, BUS 488
-CSE 316, CSE 320, CSE 416, CSE Graduate Courses -ECO 108, ECO 359, 
-EEO (Electrical Engineering Online)
-EGL 204, EGL 301, EGL 360, EGL 440, EGL 441, EGL 454 
-MEC 225, MEC 325, MEC 316, MEC 317, MEC 411, MEC 440, and MEC 441
-WRT 101 &amp; 102
Limited courses: Arts, Biology, Chemistry, Dance, Political Science, Theater, and some language courses. 
CSE/ISE - Limit 2 courses per semester
ACC/BUS - Limit 2 courses per semester
</t>
  </si>
  <si>
    <t>https://catalog.stonybrook.edu/content.php?catoid=7&amp;navoid=225</t>
  </si>
  <si>
    <t>In terms of the level of courses, the following academic experience is required:
- Bachelor courses (course codes starting with 1, e.g. Accountancy 1101TEWSES): Successfully completed at least 120 ECTS or two full academic years of tertiary education upon arrival in Antwerp
- Master courses (course codes starting with 2, e.g. Applied Welfare Economics 2130TEWECP): Successfully completed at least 150 ECTS or five semesters of tertiary education upon arrival in Antwerp as well as meeting the course prerequisites</t>
  </si>
  <si>
    <t>min. 20</t>
  </si>
  <si>
    <t>max. 36</t>
  </si>
  <si>
    <t>Courses for undergraduate students: https://businesspf.hs-pforzheim.de/international/international_study_program_isp/information_for_incoming_bachelor_exchange_students/business_courses_in_english // courses for graduate students: https://businesspf.hs-pforzheim.de/international/international_master_exchange_program_imep/information_for_incoming_master_exchange_students</t>
  </si>
  <si>
    <t>A study program of at least 15 ECTS per semester is required by our university.</t>
  </si>
  <si>
    <t>It is recommended not to take more than 30-33 ECTS.</t>
  </si>
  <si>
    <t>https://www.fhnw.ch/en/degree-programmes/business/international-experience/offers-for-incoming-students?activeAccordion=</t>
  </si>
  <si>
    <t>15 ECTS per semester for a 1-semester exchange; 20 ECTS per semester for a 2-semester exchange.</t>
  </si>
  <si>
    <t>Bachelor students are not allow to take Master courses</t>
  </si>
  <si>
    <t>2 credits</t>
  </si>
  <si>
    <t>20 credits</t>
  </si>
  <si>
    <t>most of the credits need to be taken in person classes</t>
  </si>
  <si>
    <t>https://www.uco.edu/programs/?type=Major+%28Undergraduate%29&amp;</t>
  </si>
  <si>
    <t>There is no fixed minimum credit requirement</t>
  </si>
  <si>
    <t>Maximum Credits 15 SKS</t>
  </si>
  <si>
    <t>https://international.ui.ac.id/offered-courses/</t>
  </si>
  <si>
    <t>37,5</t>
  </si>
  <si>
    <t>https://en.itu.dk/ or https://en.itu.dk/Programmes/Exchange-students/Exchange-students-ITU/Course-list</t>
  </si>
  <si>
    <t>Undergraduate: https://ufmg.br/cursos/graduacao/
Graduate: https://ufmg.br/cursos/pos-graduacao
Minor in International Studies (Subjects taught in English or Spanish): https://www.ufmg.br/dri/ftei/</t>
  </si>
  <si>
    <t>30 Units (3 courses)</t>
  </si>
  <si>
    <t>50 units (5 courses)</t>
  </si>
  <si>
    <t>we recommend 15 credits (depends on home university)</t>
  </si>
  <si>
    <t>we recommend 30 credits</t>
  </si>
  <si>
    <t>30 (swedish course can be added on top of 30 credits)</t>
  </si>
  <si>
    <t>https://apply.exchangestudents.audencia.com/_portal/course-catalogue</t>
  </si>
  <si>
    <t>Undergraduate: 12 credits (full-time, 3 credits of online &amp; 9 credits of in-person or hybrid) Graduate: 9 credits (full-time, 3 credits of online &amp; 6 credits of in-person or hybrid)</t>
  </si>
  <si>
    <t xml:space="preserve"> Undergraduate: 18 credits *Students are responsible for paying any credit over 12 credits (undergrad)/9 credits (grad).</t>
  </si>
  <si>
    <t>Refer to the link https://gem.ntu.edu.sg/index.cfm?FuseAction=Programs.ViewProgramAngular&amp;id=10006 (Coursework tab).</t>
  </si>
  <si>
    <t>around 40</t>
  </si>
  <si>
    <t>All departments at the Faculty of Science and Engineering are open for exchange
students at undergraduate and graduate levels if they fulfil the requirements. Master level, i.e. advanced level, courses available in the course catalogue for
exchange students generally require a completed bachelor's degree and/or three
years university studies within the subject area.</t>
  </si>
  <si>
    <t>According to home university requirements</t>
  </si>
  <si>
    <t>Students cannot mix courses from different programs or level due to schedule
conflict.</t>
  </si>
  <si>
    <t>https://ar.hkbu.edu.hk/student-services/incoming-exchange-and-extended-study-programme/course-list</t>
  </si>
  <si>
    <t>12 Drexel credits</t>
  </si>
  <si>
    <t>20 Drexel credits</t>
  </si>
  <si>
    <t>Visiting students must take at least 9 credits (for undergraduate students) or 6 credits (for graduate students) that meet face-to-face or in a hybrid format each term.
Class selection is subject to course availability and fulfillment of pre-requisites. Drexel reserves the right to determine visiting students' eligibility to enroll.</t>
  </si>
  <si>
    <t>https://drexel.edu/global/student-programs/exchange-and-visiting-students/academics/</t>
  </si>
  <si>
    <t>9 SFU units</t>
  </si>
  <si>
    <t>18 SFU units (NOT recommended; recommended load is 9~12 units)</t>
  </si>
  <si>
    <t>https://www.sfu.ca/students/exchange/academic-information/restricted-subjects-and-courses.html</t>
  </si>
  <si>
    <t>https://www.sfu.ca/students/exchange/academic-information.html</t>
  </si>
  <si>
    <t>40 peer year</t>
  </si>
  <si>
    <t>60 per year</t>
  </si>
  <si>
    <t>20 ECTS (+ 25ECTS for scholarship students)</t>
  </si>
  <si>
    <t>30-35</t>
  </si>
  <si>
    <t>24th Of December - 6th of January</t>
  </si>
  <si>
    <t>2026-27 Academic Calendar is not yet available. All dates are tentative.</t>
  </si>
  <si>
    <t>https://en.ktu.edu/academic-calendar/</t>
  </si>
  <si>
    <t>There are no lectures during Christmas holiday (12/24-1/2)</t>
  </si>
  <si>
    <t>Fall Break: 19-23.10.25
Christmas Holidays: 21.12.26-1.01.27</t>
  </si>
  <si>
    <t>Christmas holiday</t>
  </si>
  <si>
    <t>Yes, normally from middle- December to the second week of January. Academic year: https://www.uc3m.es/bachelor-degree/practical-information/calendar-schedules</t>
  </si>
  <si>
    <t>There are no classes between December 24 &amp; January 6. 
Please note that the semester dates mentioned above mark the earliest starting date possible and the latest ending point possible. The semester dates of our fall semester depend on the study program students choose courses in. For further details, please check our academic calendar on our website: https://www.mci4me.at/en/international/exchange-incoming</t>
  </si>
  <si>
    <t>Yes, Christmas break (23.12.2026-06.01.2027)</t>
  </si>
  <si>
    <t>24.12.2026 - 06.01.2027</t>
  </si>
  <si>
    <t>Yes, aprox. from December 20th until January 7th</t>
  </si>
  <si>
    <t xml:space="preserve">Christmas </t>
  </si>
  <si>
    <t>Yes, usually the last week of November, and 2 weeks of closure in December (Christmas period).</t>
  </si>
  <si>
    <t>19 - 23 oktober 2026: fall break
21 december 2026 - 3 januari 2027: Christmas break</t>
  </si>
  <si>
    <t>academic calendar isn't yet finalized</t>
  </si>
  <si>
    <t>We do not have the final academic calendar yet.</t>
  </si>
  <si>
    <t>(there is but it is to be determine the exact dates)</t>
  </si>
  <si>
    <t>Yes, should be the last week of October</t>
  </si>
  <si>
    <t>https://www.europa-uni.de/en/studium/termine-fristen/index.html</t>
  </si>
  <si>
    <t>Yes - dates TBD</t>
  </si>
  <si>
    <t>Mon-Fri, November 23 - 27</t>
  </si>
  <si>
    <t>Fall Break: Mon.-Tues., Oct. 19-20 and Thanksgiving Break: Wed.-Fri., Nov. 25-27</t>
  </si>
  <si>
    <t>14 to 19 of september</t>
  </si>
  <si>
    <t>Thanksgiving holiday is 2 days in late November</t>
  </si>
  <si>
    <t>TBC (https://www.res.cuhk.edu.hk/general-information/almanac/term-dates-in-2026-27-tentative/)</t>
  </si>
  <si>
    <t>Yes, winter break (from 21/December/2026 to 07/January/2027</t>
  </si>
  <si>
    <t>https://www.uni-konstanz.de/en/international-office/study-in-konstanz/exchange-studies/academic-calendar/</t>
  </si>
  <si>
    <t xml:space="preserve">no </t>
  </si>
  <si>
    <t>https://www.vub.be/en/about-vub/key-data-vub/academic-calendar</t>
  </si>
  <si>
    <t>19 december-14 January</t>
  </si>
  <si>
    <t>October 5-11, 2026</t>
  </si>
  <si>
    <t>1 week mid/end of October, 2 weeks during Christmas/New Year</t>
  </si>
  <si>
    <t>short christmas break from 24th december until beginning of january</t>
  </si>
  <si>
    <t>21 december-6 january</t>
  </si>
  <si>
    <t>Yes during the Christmas Holidays from Tue, Dec 23, 2026 to Tue, Jan 6, 2027</t>
  </si>
  <si>
    <t xml:space="preserve">	18 January 2027 to 6 February 2027, see here: https://sheffield.ac.uk/about/dates/current-and-future-semester</t>
  </si>
  <si>
    <t>25 Oct - 1 Nov 2026</t>
  </si>
  <si>
    <t>23/12/2026 to 06/01/2027</t>
  </si>
  <si>
    <t xml:space="preserve">In October. The university calendar has not yet been publishes, all dates are tentative. </t>
  </si>
  <si>
    <t>Fall Break - 10/12/2026-10/13/2026
Thanksgiving Break - 11/25/2026-11/29/2026</t>
  </si>
  <si>
    <t>21/12/2026-01/01/2027</t>
  </si>
  <si>
    <t>Christmas break, from 22.12.2026 - 04.01.2027</t>
  </si>
  <si>
    <t>Yes, two vacation periods will be planned: 1 week in October/November and two weeks at the end of December 2026. Exact dates are not yet known.</t>
  </si>
  <si>
    <t>You will be informed as soon as  the official academic calander is avalaible</t>
  </si>
  <si>
    <t xml:space="preserve">No. </t>
  </si>
  <si>
    <t>There is a mid-semester break, however the date is not finalised. It is typically after the 7th lecture week</t>
  </si>
  <si>
    <t>OCT15-16; NOV 25-27</t>
  </si>
  <si>
    <t>Does not have a short mid-semester break. Classes usually run continuously throughout the semester, except for national or public holidays.</t>
  </si>
  <si>
    <t>Christmas holidays, from Dec 24 to Jan 1</t>
  </si>
  <si>
    <t>There is no vacation period in Fall 2026</t>
  </si>
  <si>
    <t>Yes 26 September - 5 October</t>
  </si>
  <si>
    <t>Yes, the Christmas break (last week of December, first week of January)</t>
  </si>
  <si>
    <t>12–16 October 2026</t>
  </si>
  <si>
    <t>17/10/2026 - 02/11/2026 and 20/02/2027 - 08/03/2027</t>
  </si>
  <si>
    <t xml:space="preserve">US Holidays / Breaks (Sep 7th * Labor Day &amp; Nov 23 - Nov 29 * Thanksgiving Break) </t>
  </si>
  <si>
    <t>https://www.ntu.edu.sg/docs/default-source/office-of-academic-services/ntu-academic-calendar-ay2026-27-(semester).pdf?sfvrsn=9fc61920_1</t>
  </si>
  <si>
    <t>Yes, during christmas.</t>
  </si>
  <si>
    <t>Yes, in October or november 1 week (it depends on the year in which the student register) as each department has their own schedule</t>
  </si>
  <si>
    <t>one week Christmas holiday</t>
  </si>
  <si>
    <t>Thanksgiving break: November 25-November 27</t>
  </si>
  <si>
    <t>On September 30, October 12, and November 11.</t>
  </si>
  <si>
    <t>Reading week is not for all Faculties</t>
  </si>
  <si>
    <t>Please note that the last day of Fall semester is not sure yet, 21/02/27 is just an estimation</t>
  </si>
  <si>
    <t>2026-02-01</t>
    <phoneticPr fontId="3" type="noConversion"/>
  </si>
  <si>
    <t>2026-12-18</t>
    <phoneticPr fontId="3" type="noConversion"/>
  </si>
  <si>
    <t>2026-08-31</t>
    <phoneticPr fontId="3" type="noConversion"/>
  </si>
  <si>
    <t>2026-10-15</t>
    <phoneticPr fontId="3" type="noConversion"/>
  </si>
  <si>
    <t>2026-03-15</t>
    <phoneticPr fontId="3" type="noConversion"/>
  </si>
  <si>
    <t>language skills equivalent to level CEFR B2</t>
    <phoneticPr fontId="3" type="noConversion"/>
  </si>
  <si>
    <t>B2 English / B1 French</t>
    <phoneticPr fontId="3" type="noConversion"/>
  </si>
  <si>
    <t>Kansai University</t>
  </si>
  <si>
    <t>일본</t>
  </si>
  <si>
    <t>Kanda University of International Studies</t>
  </si>
  <si>
    <t>Shibaura Institute of Technology</t>
  </si>
  <si>
    <t xml:space="preserve">The Chinese University of Hong Kong, Shenzhen </t>
  </si>
  <si>
    <t>중국</t>
  </si>
  <si>
    <t>National Chengchi University</t>
  </si>
  <si>
    <t>대만</t>
  </si>
  <si>
    <t>TAMA UNIVERSITY</t>
  </si>
  <si>
    <t>Niigata University</t>
  </si>
  <si>
    <t>University of Fukui</t>
  </si>
  <si>
    <t>Sophia University</t>
  </si>
  <si>
    <t>Chiba University of Commerce</t>
  </si>
  <si>
    <t>Musashino University</t>
  </si>
  <si>
    <t>J.F.Oberlin University</t>
  </si>
  <si>
    <t>National Yang Ming Chiao Tung University</t>
  </si>
  <si>
    <t>National Taiwan University of Science and Technology</t>
  </si>
  <si>
    <t>University of Tsukuba</t>
  </si>
  <si>
    <t>Nagoya Institute of Technology</t>
  </si>
  <si>
    <t>Hokkaido University (JLCSP Program)</t>
  </si>
  <si>
    <t>Hokkaido University (HUSTEP Program)</t>
  </si>
  <si>
    <t>Graduate School and School of Engineering, Hokkaido University</t>
  </si>
  <si>
    <t>Soochow University</t>
  </si>
  <si>
    <t>East China Normal University</t>
  </si>
  <si>
    <t>Shandong University at Weihai</t>
  </si>
  <si>
    <t>Institute of Science Tokyo (Tokyo Institute of Technology)</t>
  </si>
  <si>
    <t xml:space="preserve">일본 </t>
  </si>
  <si>
    <t>The University of Osaka (Osaka University)</t>
  </si>
  <si>
    <t>Harbin Institute of Technology</t>
  </si>
  <si>
    <t>Yantai University</t>
  </si>
  <si>
    <t>National Taiwan University of Arts</t>
  </si>
  <si>
    <t>Toyo University</t>
  </si>
  <si>
    <t>Dalian University of Technology</t>
  </si>
  <si>
    <t>Beijing Normal University</t>
  </si>
  <si>
    <t>Zhejiang Sci-Tech University</t>
  </si>
  <si>
    <t>Kindai University</t>
  </si>
  <si>
    <t>2</t>
    <phoneticPr fontId="3" type="noConversion"/>
  </si>
  <si>
    <t>https://www.kansai-u.ac.jp/Kokusai/future/</t>
  </si>
  <si>
    <t>https://sites.google.com/kuis.ac.jp/intlstu/home?authuser=0</t>
  </si>
  <si>
    <t>https://www.shibaura-it.ac.jp/en/study/exchange_programs/sandwich.html</t>
  </si>
  <si>
    <t>https://oal.cuhk.edu.cn/en/incoming_students_admission</t>
  </si>
  <si>
    <t>https://oic.nccu.edu.tw/</t>
  </si>
  <si>
    <t>https://www.tama.ac.jp/international/sgs/incomng.html</t>
  </si>
  <si>
    <t>https://www.niigata-u.ac.jp/en/study/exchange/</t>
  </si>
  <si>
    <t>https://www.u-fukui.ac.jp/eng/inbound/exchange/</t>
  </si>
  <si>
    <t>https://piloti.sophia.ac.jp/eng/studyabroad/exchangeprograms/</t>
  </si>
  <si>
    <t>https://www.cuc.ac.jp/eng/global_edu/program/overseas/index.html</t>
  </si>
  <si>
    <t>https://musashino-u.j-server.com/LUCAIMSSNU/ns/tl.cgi/https://www.musashino-u.ac.jp/international/international-students/study_abroad_agreement/study_abroad_agreement.html?SLANG=ja&amp;TLANG=en&amp;XMODE=0&amp;XPARAM=q,&amp;XCHARSET=utf-8&amp;XPORG=,&amp;XJSID=0</t>
  </si>
  <si>
    <t>https://j-f-oberlin-university.notion.site/J-F-Oberlin-University-Program-Information-and-Application-Guideline-for-Semester-Exchange-Program-88be662d9fcb43e4a1d91fa1e9e009e0</t>
  </si>
  <si>
    <t>https://oia.nycu.edu.tw/oia/en/app/artwebsite/view?module=artwebsite&amp;id=821&amp;serno=a277c341-8d25-4a51-8495-58d1d58bbc5d</t>
  </si>
  <si>
    <t>https://oia-r.ntust.edu.tw/p/412-1060-8919.php?Lang=en</t>
  </si>
  <si>
    <t>https://www.cegloc.tsukuba.ac.jp/page/dir000755.html</t>
  </si>
  <si>
    <t>https://www.nitech.ac.jp/eng/admissions/programs/exchange.html</t>
  </si>
  <si>
    <t>https://www.global.hokudai.ac.jp/admissions/japanese-language-and-culture/</t>
  </si>
  <si>
    <t>https://www.global.hokudai.ac.jp/admissions/short-term-exchange/</t>
  </si>
  <si>
    <t>https://eprogram.eng.hokudai.ac.jp/office/iao/%e6%b5%b7%e5%a4%96%e3%81%ae%e5%8d%94%e5%ae%9a%e6%a0%a1%e3%81%8b%e3%82%89%e3%81%ae%e4%ba%a4%e6%8f%9b%e7%95%99%e5%ad%a6%e3%81%ab%e3%81%a4%e3%81%84%e3%81%a6-inbound-exchange-program/</t>
  </si>
  <si>
    <t>https://icae.scu.edu.tw/en/incoming/Application/Procedures/2026spring</t>
  </si>
  <si>
    <t>http://lxs.ecnu.edu.cn/en/admission/exchange-programs/programs-introduction</t>
  </si>
  <si>
    <t>https://ipo.wh.sdu.edu.cn/kristudy/lxxm1/jhsxm.htm</t>
  </si>
  <si>
    <t>https://www.titech.ac.jp/english/international-student-exchange/prospective-students/non-degree</t>
  </si>
  <si>
    <t>https://www.osaka-u.ac.jp/ja/international/inbound/exchange_program/files/OU-ExchangePrograms_2022_A4.pdf</t>
  </si>
  <si>
    <t>https://studyathit.hit.edu.cn/ExchangeProgram/list.htm</t>
  </si>
  <si>
    <t>https://engsie.ytu.edu.cn/</t>
  </si>
  <si>
    <t>https://international.ntua.edu.tw/#/Category/67</t>
  </si>
  <si>
    <t>https://www.toyo.ac.jp/academics/international-exchange/prospective/exchange_program/</t>
  </si>
  <si>
    <t xml:space="preserve"> http://iso.bnu.edu.cn/en/index</t>
  </si>
  <si>
    <t>https://admission.zstu.edu.cn/En/ApplicationInfo/258</t>
  </si>
  <si>
    <t>https://www.kindai.ac.jp/english/study-at-kindai/</t>
  </si>
  <si>
    <t>60~</t>
  </si>
  <si>
    <t>minimum TOEFL score of 530 (paper-based) / 71 (internet-based)</t>
  </si>
  <si>
    <t>2.75/4.0</t>
  </si>
  <si>
    <t>2.3/4</t>
  </si>
  <si>
    <t>TOEFL(iBT) 65</t>
  </si>
  <si>
    <t>There is no requirement for GPA, but applicants must have a good academic standing of at least 2.30 points by NU's designated  calculation formula.</t>
  </si>
  <si>
    <t>2.3/3.0 or higher in the previous academic year</t>
  </si>
  <si>
    <t>Nothing</t>
  </si>
  <si>
    <t>61 or above for those who will take courses in English.</t>
  </si>
  <si>
    <t>GPA &gt;2.5(out of 4)</t>
  </si>
  <si>
    <t>Please refer to NYCU Available Departments for Inbound Exchange Program (AY2026-27) for details, as each department has different requirements. (Link: https://drive.google.com/file/d/1FL2hsdPTWAJhUmx9lbI_6jpJjSx3K9Ag/view)</t>
  </si>
  <si>
    <t>2.44/4.3</t>
  </si>
  <si>
    <t>2.3/3.0 (recommended)</t>
  </si>
  <si>
    <t>TOEFL iBT 79</t>
  </si>
  <si>
    <t>70/100，2.3/4.0</t>
  </si>
  <si>
    <t>Submission of official test scores such as TOEFL, TOEIC, IELTS, etc. is strongly recommended.</t>
  </si>
  <si>
    <t>80 or higher</t>
  </si>
  <si>
    <t>2.5/4.5</t>
  </si>
  <si>
    <t>Na</t>
  </si>
  <si>
    <t>75 out of 100 points equivalent at home institution.</t>
  </si>
  <si>
    <t>TOEFL (≥80)</t>
  </si>
  <si>
    <t xml:space="preserve">	3.0/4.0</t>
  </si>
  <si>
    <t>505~</t>
  </si>
  <si>
    <t>5.0~</t>
  </si>
  <si>
    <t>Level 1 &amp; 2 543-626</t>
  </si>
  <si>
    <t>TOEFL(ITP) 450</t>
  </si>
  <si>
    <t>IELTS 5</t>
  </si>
  <si>
    <t>not acceptable</t>
  </si>
  <si>
    <t>5.5 or above for thoses who will take courses in English</t>
  </si>
  <si>
    <t>IELTS 6.5</t>
  </si>
  <si>
    <t>eual to CEFR B1 level</t>
  </si>
  <si>
    <t>6.0 or higher</t>
  </si>
  <si>
    <t>Not acceptable</t>
  </si>
  <si>
    <t xml:space="preserve"> IELTS (≥5.5) </t>
  </si>
  <si>
    <t>It is not mandatory for students to have JLPT but in case they have enough Japanese proficiency (JLPT N2 or higher), they can take courses offered by each faculty.</t>
  </si>
  <si>
    <t>The factsheet for Fall 2026 will be sent to you via email around the mid-late March along with the nomination information.</t>
  </si>
  <si>
    <t>I will send it by email.</t>
  </si>
  <si>
    <t>https://www.shibaura-it.ac.jp/assets/Factsheet,%20Mobility%20Programs,%20Graduate%20School_2.zip</t>
  </si>
  <si>
    <t xml:space="preserve">We will send it </t>
  </si>
  <si>
    <t>HSK Level 4</t>
  </si>
  <si>
    <t>https://oic.nccu.edu.tw/Home/Download?FileId=F1BE55F7-ADF7-4290-BB0D-A39BC86172DC</t>
  </si>
  <si>
    <t>JLPT N2</t>
  </si>
  <si>
    <t>For Program B: JLPT N2</t>
  </si>
  <si>
    <t>https://www.u-fukui.ac.jp/wp/wp-content/uploads/FACT_SHEET_2026-2027.pdf</t>
  </si>
  <si>
    <t>https://piloti.sophia.ac.jp/eng/studyabroad/exchangeprograms/#FactSheet</t>
  </si>
  <si>
    <t>As the exchange students are required to use Japanese in their daily life, they are expected to possess Japanese competence at N2 Level. Please submit the transcript of the Japanese Language Proficiency Test (JLPT).</t>
  </si>
  <si>
    <t>Application information for the Fall 2026 semester will be available in February 2026.</t>
  </si>
  <si>
    <t xml:space="preserve">JLPT N1 for thoses who will take courses in Japanese. </t>
  </si>
  <si>
    <t>Not available now</t>
  </si>
  <si>
    <t>We will attach it to an email and send it to you later.</t>
  </si>
  <si>
    <t>https://drive.google.com/file/d/1pqfW-mKWqoGw9kIoqzmpI7Ocyb_ZxWSI/view</t>
  </si>
  <si>
    <t>HSK level5</t>
  </si>
  <si>
    <t>chrome-extension://efaidnbmnnnibpcajpcglclefindmkaj/https://oia-r.ntust.edu.tw/var/file/60/1060/img/TaiwanTechExchangeInfoSheet2025-2026(updatedJul7,2025).pdf</t>
  </si>
  <si>
    <t xml:space="preserve">Following Program requires language proficiency
College of Japanese language and Japanese culture：JLPT N2
Master’s Program in Service Engineering,：JLPT N1 level
</t>
  </si>
  <si>
    <t>it will be sent by e-mail.</t>
  </si>
  <si>
    <t>Factsheet to be sent by email.</t>
  </si>
  <si>
    <t>JLPT N3 or higher</t>
  </si>
  <si>
    <t>https://isc.high.hokudai.ac.jp/wp25/wp-content/uploads/2025/12/JLCSP_Hokkaido-University-Factsheet_2026-2027.pdf</t>
  </si>
  <si>
    <t>https://isc.high.hokudai.ac.jp/wp25/wp-content/uploads/2025/12/HUSTEP_factsheet_2026-2027.pdf</t>
  </si>
  <si>
    <t>JLPT (For undergraduate level, JLPT N2 or equivalent at the lowest is required.)</t>
  </si>
  <si>
    <t>chrome-extension://oemmndcbldboiebfnladdacbdfmadadm/https://eprogram.eng.hokudai.ac.jp/office/iao/wp-content/uploads/bbc9490b5979358e0b9a186017c0c188.pdf</t>
  </si>
  <si>
    <t>Online Chinese Proficiency Test will be conducted if students intend to take a Chinese Language course.</t>
  </si>
  <si>
    <t>https://icae.scu.edu.tw/en/node/2486</t>
  </si>
  <si>
    <t>标准中文项目(Standard Chinese Language Program ) 코스 지원자의 경우 언어 요구사항 없음
대학 본과과정 지원자는 2년 내에 취득한 HSK 필요
영어 과목(Global China Program) 지원자의 경우 IELTS6.0;TOEFL85;Cambridge English B2 이상의 어학점수 필요</t>
  </si>
  <si>
    <t>TBD</t>
  </si>
  <si>
    <t>HSK 4</t>
  </si>
  <si>
    <t>&lt;YSEP (Research-oriented program)&gt;High-level English ability is required for conducting research and communicatingwith laboratory colleagues.* Submission of official test scores such as TOEFL, TOEIC, IELTS, etc. is strongly recommended.&lt;ACAP (Course-oriented program)&gt;High-level English or Japanese ability is required for taking courses.* Submission of official test scores such as TOEFL, TOEIC, IELTS, etc. is strongly recommended.* An official Japanese Language Proficiency Test (JLPT) result or equivalent document is required forundergraduate program students except for those in their final year.</t>
  </si>
  <si>
    <t>iExPO: JLPT N1 or N2, Maple: Japanese language proficiency equivalent to or higher than Level N4 of JLPT</t>
  </si>
  <si>
    <t>We've sent them to the email in the end of 2025</t>
  </si>
  <si>
    <t>Master's degree students can be accepted if they have HSK 5
No requirement for Chinese Language major (we can start from beginning)
HSK Band 4 or above for other majors</t>
  </si>
  <si>
    <t>https://engsie.ytu.edu.cn/index.htm</t>
  </si>
  <si>
    <t>TOCEL A2 to A1</t>
  </si>
  <si>
    <t>Students who have a Japanese Language Proficiency Test (JLPT) score of N3 or
higher or the equivalent of CEFR B2 or higher in English or who come from a university
where the language of instruction is Japanese or English.</t>
  </si>
  <si>
    <t>https://www.toyo.ac.jp/assets/academics/international-exchange/EN_Toyo_Factsheet_2026_Fall_Enrollment_Exchange.pdf</t>
  </si>
  <si>
    <t>For Chinese-Taught Programs:
Applicants for majors in Science, Engineering, Economics, and Management must submit a New HSK Level 4 score report with a minimum of 180 points.
Applicants for majors in Humanities and Foreign Languages must submit a New HSK Level 5 score report with a minimum of 180 points.</t>
  </si>
  <si>
    <t xml:space="preserve">1.Chinese Language Program：no requirement
2.Chinese course： New HSK:180 points or above  / Level 5 or above
3.English course： Native speak of English or TOEFL 80 / IELTS 6
None
2. General Visiting Student
Chinese course： New HSK:180 points or above / Level 5 or above  (or HSK 4 180+ for TCSOL)
English course： Native speak of English or TOEFL 80 / IELTS 6
3 .Senior Visiting Student
Chinese course： New HSK:195 points or above / Level 5 or above 
English course： Native speak of English or TOEFL 80 / IELTS </t>
  </si>
  <si>
    <t>JLPT N2 / Those who will not graduate or complete their degree program at their home institution before the end of the enrolment period of the exchange program at Kindai University</t>
  </si>
  <si>
    <t>https://docs.google.com/presentation/d/1OiXjG2qL3iY_01DGjvHtNbQOzOJZDwY4TnXhDibARpk/edit?usp=drive_link</t>
  </si>
  <si>
    <t>Exchange students at Kansai University usually follows KUGF curriculum.  Please see the course guide for AY 2025 for your reference.
https://www.kansai-u.ac.jp/Kokusai/program/
For your information, the course guide for AY 2026 will be updated around the end of March.</t>
  </si>
  <si>
    <t>We do not have a minimum credits that exchange students must take, but we require students to take at least 7 classes in a week to maintain the visa condition.</t>
  </si>
  <si>
    <t>24 credits for undergraduate exchange students, 14 credits for graduate exchange students</t>
  </si>
  <si>
    <t>GLA</t>
  </si>
  <si>
    <t>7 classes per week</t>
  </si>
  <si>
    <t>600 minutes per week</t>
  </si>
  <si>
    <t>24 SIT credits</t>
  </si>
  <si>
    <t xml:space="preserve">Clinical Medicine, School of Music  </t>
  </si>
  <si>
    <t xml:space="preserve">9 CUHKSZ credits </t>
  </si>
  <si>
    <t xml:space="preserve">18 CUHKSZ credits </t>
  </si>
  <si>
    <t xml:space="preserve">- International Master’s Program in Asia-Pacific Studies (IMAS); 
- International Master of Business Administration (IMBA); 
- Executive Master of Business Administration (EMBA); 
- College of Global Banking and Finance; 
- On-Job Training Programs; 
- Extended Minor Course with credit fee; and 
- The department of the students’ native language (e.g., Korean students cannot take courses offered by the Department of Korean Language and Culture). </t>
  </si>
  <si>
    <t>12 Credits</t>
  </si>
  <si>
    <t>24 Credits</t>
  </si>
  <si>
    <t>The Exchange students could take subjects suggested by International Exchange Center. However, because the number of courses taught in English is very limited, students who do not have advanced Japanese language proficiency, and who are NOT planning to study Japanese language learning subjects must carefully plan and consult before application. Coordinators should also consult with NU in advance if graduate-level students may apply because there are graduate schools that do not accept exchange students.</t>
  </si>
  <si>
    <t>School/Graduate School of Medical Sciences</t>
  </si>
  <si>
    <t>About 10 hours/week is equivalent to 7 courses (about 14 credits)</t>
  </si>
  <si>
    <t>Please check the faculties and graduate schools you can apply to in the fact sheet at the link below.
https://piloti.sophia.ac.jp/eng/studyabroad/exchangeprograms/#FactSheet</t>
  </si>
  <si>
    <t>Exchange Students must register for more than 10 hours of class work per week (600 minutes, 1 hour being 60 minutes). This is namely 6 periods as 100 minutes constitute one period.</t>
  </si>
  <si>
    <t>Depends on the department and graduate school</t>
  </si>
  <si>
    <t>Exchange students are required to attend at least six classes per week, with each class lasting 105 minutes.</t>
  </si>
  <si>
    <t>No more than 22 credits (11 courses) may be selected.</t>
  </si>
  <si>
    <t xml:space="preserve">TBD </t>
  </si>
  <si>
    <t>None of any regulations on minimum credits</t>
  </si>
  <si>
    <t>20 credits for regular courses</t>
  </si>
  <si>
    <t xml:space="preserve">
  There are some restrictions on taking regular courses. Details will be provided at the orientation.</t>
  </si>
  <si>
    <t>Minimum: 600 minutes of classes/week (VISA requirement)</t>
  </si>
  <si>
    <t>Maximum: 20 credits</t>
  </si>
  <si>
    <t>Please refer to the NYCU Available Departments for Inbound Exchange Program (AY2026-27), which lists the departments available for exchange students. (Link: https://drive.google.com/file/d/1FL2hsdPTWAJhUmx9lbI_6jpJjSx3K9Ag/view)</t>
  </si>
  <si>
    <t>Undergraduates: 9 credits; Graduates: at least 2 courses</t>
  </si>
  <si>
    <t>Not specified</t>
  </si>
  <si>
    <t>Due to some departments don't have English courses, if student apply for Design, please be fourth-year or above. Business Administration, please be third-year or above.</t>
  </si>
  <si>
    <t>9 credits for Bachelor's, 1 course (about 3 credits) for Master's and above.</t>
  </si>
  <si>
    <t>26 credits</t>
  </si>
  <si>
    <t>Exchange students are not permitted to enroll in the Degree Program in Business Sciences, the Law School Program, or the MBA Program in International Business. Additionally, courses offered under these programs are not available for registration.</t>
  </si>
  <si>
    <t>As for the minimum number, there is a requirement for the number of hours (not credits) you attend classes per week. In order to maintain your visa status as a short-term exchange student, exchange student(Tokubetsu chokogakusei) must attend at least 8 periods of classes (600 minutes) per week.</t>
  </si>
  <si>
    <t>There is no maximum number of credits to take.</t>
  </si>
  <si>
    <t>Undergraduate Course(Creative Engineering Program, Fundamental Engineering Program), 
Doctral Course(Nanopharmaceutical Sciences, Joint Degree Doctoral in Informatics, Joint 
Degree Doctoral Program in Energy Conversion Systems)</t>
  </si>
  <si>
    <t>7 classes(14 credits) per semester</t>
  </si>
  <si>
    <t>8 classes(16 credits) per semester</t>
  </si>
  <si>
    <t>The applicants are able to take certain courses that offered to JLCSP student.</t>
  </si>
  <si>
    <t>To meet visa requirements, the exchange students must take at least 7 classes per week.</t>
  </si>
  <si>
    <t>Cannot intake graduate students.</t>
  </si>
  <si>
    <t>Students applying for special auditors are required to attend courses at least 10 hours a week. (7 courses)</t>
  </si>
  <si>
    <t>Unlimited</t>
  </si>
  <si>
    <t>It depends on each lecturer.</t>
  </si>
  <si>
    <t>At least 1 local credit</t>
  </si>
  <si>
    <t>No more than 25 local credits in one semester</t>
  </si>
  <si>
    <t>Faculty of Economics and Management</t>
  </si>
  <si>
    <t>No Special Requirement</t>
  </si>
  <si>
    <t>faculties/graduate schools of Medicine, Dentistryand Health Care Sciences. Indeed, they cannot be accepted by the faculty members of thefaculties/graduate schools of Medicine, Dentistry and Health Care Sciences</t>
  </si>
  <si>
    <t>http://www.titech.ac.jp/english/enrolled/life/credit.html</t>
  </si>
  <si>
    <t>Enrollment restrictions may apply to some medicine/dentistry-related schools.</t>
  </si>
  <si>
    <t>It depends on the programs so please refer to the application guide</t>
  </si>
  <si>
    <t>General academic courses are courses which are offered to the study abroad students
by the Faculties of Letters, Economics, Business Administration, Law, Sociology,
Regional Development Studies, Global and Regional Studies and International
Tourism Management
Study abroad students choose courses from the course list for study abroad students.
Note: Not all Toyo courses are available for study abroad students. Also, many
courses are offered to the students who are selected by lottery.
For your reference, please click the link below to see course lists from past semesters
and confirm what you can study during your study abroad period. Most psychology,
science and computer science courses will NOT be available to study abroad students.</t>
  </si>
  <si>
    <t>To maintain visa status as a college student in Japan, study abroad students are required to take at least 7 lectures (10 hours of coursework) per week.</t>
  </si>
  <si>
    <t>There is no upper limit to the number of courses students can take.</t>
  </si>
  <si>
    <t>Typically 3-5 courses (approx. 8-12 credits) per semester</t>
  </si>
  <si>
    <t xml:space="preserve">	26 credits</t>
  </si>
  <si>
    <t>Based on the courses student choose</t>
  </si>
  <si>
    <t>Please check our fact sheet</t>
  </si>
  <si>
    <t>7 courses</t>
  </si>
  <si>
    <t>No limit</t>
  </si>
  <si>
    <t>https://www.kansai-u.ac.jp/Kokusai/program/</t>
  </si>
  <si>
    <t>Language certificates are not required, but there is a recommended proficiency level.
Please refer to the fact sheet for details.</t>
  </si>
  <si>
    <t xml:space="preserve">You can confirm them on the website. </t>
  </si>
  <si>
    <t>Be an undergraduate/graduate student of a university.
Complete this program at SIT and return to his/her home university before graduating.
Have a good command of English* (CEFR B2 equivalent or higher).
Be physically and mentally healthy. (Health checkup and health certificate will be required after you accepted by SIT officially)
Register for more than 6-period (600 minutes) of courses per week for the entire semester.
https://www.shibaura-it.ac.jp/en/study/exchange_programs/sandwich.html#Requirements
Details about course registration will be shared with students during the in-person orientation.</t>
  </si>
  <si>
    <t>https://www.shibaura-it.ac.jp/en/study/exchange_programs/sandwich.html#Course
(Timetable will be updated in March, 2026)</t>
  </si>
  <si>
    <t>Undergraduate courses are not offered to postgraduates and vice versa.</t>
  </si>
  <si>
    <t>https://oal.cuhk.edu.cn/en/incoming_students_academics</t>
  </si>
  <si>
    <t xml:space="preserve">Regarding language proficiency, while there are no requirements, We recommend students to reach a sufficient language proficiency level to understand the course content. Specifically:
For Mandarin-taught courses: TOCFL Superior or HSK Level 4. Please note that some colleges or departments (e.g., College of Informatics and College of Science) may require a higher level of Mandarin proficiency.
For English-taught courses: TOEFL iBT 80, IELTS 6.0, TOEIC 700, CEFR B2, or any other assessment of a similar level.
</t>
  </si>
  <si>
    <t>https://qrysub.nccu.edu.tw/</t>
  </si>
  <si>
    <t>https://next.tama.ac.jp/uprx/up/pk/pky001/Pky00101.xhtml</t>
  </si>
  <si>
    <t>An applicant must meet all of the following requirements.
(1) The applicant is currently enrolled as a degree-seeking student in a university with which Niigata University has concluded a student exchange agreement (hereinafter referred to as “partner university”). (In light of the principle of student exchange, students who will be enrolled in, and pay tuition fees to, partner university during their intended study period are eligible. Students who will have graduated from partner universities by the end of the Program at Niigata University are not eligible.)
(2) The applicant has good academic records which is equal to or more than 2.30 points by NU’s designated calculation formula, has sufficient language proficiency in Japanese or English, and is recommended by NU’s partner university.
(3) The applicant is physically and mentally in good health and is expected to complete the program successfully.
(4) The applicant will observe applicable laws and regulations during their participation in this Program as well as rules and instruction as an exchange student by agreements on student exchange with Niigata University.
In addition, applicants should have a sufficient language proficiency in either English or Japanese or both in order to be successful in class and to fulfill their academic goals. The number of subjects taught in English or Chinese is limited. Students who do not intend to take Japanese language learning subjects, or subjects taught in Japanese which require advanced fluency, should plan carefully before application, ask for information on course offering in advance, and consult their academic advisor at home university about credit transfer.</t>
  </si>
  <si>
    <t>https://www.niigata-u.ac.jp/en/study/japanese-language/</t>
  </si>
  <si>
    <t>For Program A: TOEIC 600</t>
  </si>
  <si>
    <t>https://www.u-fukui.ac.jp/eng/inbound/exchange/outline</t>
  </si>
  <si>
    <t>Applicants who apply for the Graduate Program in Global Studies are expected to have a higher English ability. Applicants who cannot fulfill the following minimum language requirement will be denied the entrance into the program.
100 on TOEFL iBT / 600 on TOEFL ITP / 7.0 on IELTS(Academic) / 870 on TOEIC (LR)
(Cambridge English is not acceptable)</t>
  </si>
  <si>
    <t>https://piloti.sophia.ac.jp/eng/studyabroad/exchangeprograms/#Course</t>
  </si>
  <si>
    <t>・The dates are tentative. It is subject to change.　
・We also accept master's students, but their study abroad programs are undergraduate.　</t>
  </si>
  <si>
    <t>https://www.cuc.ac.jp/dpt_grad_sch/index.html</t>
  </si>
  <si>
    <t>JLPT N5 is required for all exchange students.</t>
  </si>
  <si>
    <t>https://musashino-u.j-server.com/LUCAIMSSNU/ns/tl.cgi/https://www.musashino-u.ac.jp/international/international-students/study_abroad_agreement?SLANG=ja&amp;TLANG=en&amp;XMODE=0&amp;XPARAM=q,&amp;XCHARSET=utf-8&amp;XPORG=,&amp;XJSID=0</t>
  </si>
  <si>
    <t>Enrolled at a overseas institution until the end date of the exchange program</t>
  </si>
  <si>
    <t>https://drive.google.com/file/d/1eEQ_vxdCKBht48lLd0cadvjI9EbWjEjF/view　https://docs.google.com/spreadsheets/d/1iIif50mh0c5VrFopvvsJ_9RM2aK8lk3rvFPrJ9c5zH4/edit?gid=1830504854#gid=1830504854</t>
  </si>
  <si>
    <t>For application of exchange to College of Management, undergraduate students are limited to final-year student.
Exchange students can take courses across different departments, but the final course enrollment is subject to the instructor's approval.</t>
  </si>
  <si>
    <t>https://drive.google.com/file/d/1FL2hsdPTWAJhUmx9lbI_6jpJjSx3K9Ag/view</t>
  </si>
  <si>
    <t>https://docs.google.com/document/d/1dPhMNOhBxwL5b4IiVRb2Rb1RaB3w8Rw6/edit</t>
  </si>
  <si>
    <t>https://querycourse.ntust.edu.tw/querycourse/#/</t>
  </si>
  <si>
    <t>Graduate students cannot take the undergraduate courses. Undergraduate students cannot take graduate courses.</t>
  </si>
  <si>
    <t>https://www.tsukuba.ac.jp/education/international-short-term-students/kdb-information-for-searching-courses.pdf</t>
  </si>
  <si>
    <t>Please refer to NITech Factsheet.</t>
  </si>
  <si>
    <t>https://www.nitech.ac.jp/eng/academics/departments/index.html</t>
  </si>
  <si>
    <t>Applicants must be a Japanese language and/or culture major enrolled
in an undergraduate degree course at a university.</t>
  </si>
  <si>
    <t>We do not have a minimum language score but ask applicants to submit either English or Japanese test score. Please note that applicants for undergraduate level are required to have at least JLPT N2 level Japanese proficiency since courses are offered in Japanese.</t>
  </si>
  <si>
    <t>https://www.eng.hokudai.ac.jp/english/division/school.php
https://www.eng.hokudai.ac.jp/english/division/graduate.php</t>
  </si>
  <si>
    <t>https://icae.scu.edu.tw/en/in-exchange/2026spring</t>
  </si>
  <si>
    <t>https://www.wh.sdu.edu.cn/jxyb.htm</t>
  </si>
  <si>
    <t>&lt;YSEP (Research-oriented program)&gt;Those with student status at their home university, enrolled in the following programs at thetime they start research at Science Tokyo:- Doctoral program- Master’s program- Bachelor’s program (at least two and a half years of study)&lt;ACAP (Course-oriented program)&gt;Those with student status at their home university, enrolled in the following programs at thetime they start coursework at Science Tokyo:- Doctoral program- Master’s program- Bachelor’s program (at least one year of study)*For 2nd- or 3rd-year undergraduate students, an official Japanese Language Proficiency Test(JLPT) result or equivalent document is required as they are supposed to take courses conductedin Japanese.*Both YSEP and ACAP students must have student status at their home universities during theperiod of participation.*If an undergraduate student has the academic ability equivalent to that of one in the final yearof a bachelor’s degree, he/she may take graduate courses offered in English. Some courses mayhave prerequisites.</t>
  </si>
  <si>
    <t>https://www.isct.ac.jp/en/011/education/relationship</t>
  </si>
  <si>
    <t>https://www.osaka-u.ac.jp/en/international/inbound/exchange_program/eng_course</t>
  </si>
  <si>
    <t>https://engsie.ytu.edu.cn/Admissions/Majors.htm</t>
  </si>
  <si>
    <t>Exchange students can stay at the Toyo University dormitory Akabanedai International House (“AIHouse HUB-4”) or Kokusai Kaikan /International House (I-House). The details of the application will be announced in May. If the number of requests for the AI-House/ I-House exceeds the number of spots available, a lottery will be held to determine
placements.</t>
  </si>
  <si>
    <t>The course titles and number of courses in the list below may change.
https://www.toyo.ac.jp/academics/internationalexchange/prospective/exchange_program/#epanc07</t>
  </si>
  <si>
    <t>https://sie.dlut.edu.cn/English/Admissions/Degree_Programs/Bachelor_Programs1.htm</t>
  </si>
  <si>
    <t>Students must choose to study at one particular academic school, but students can combine courses from two different Schools as long as the majority of their credits are taught in one academic school. 
Exchange students under institutional agreement are able to choose courses from different schools. School level exchange students are not able to choose courses from different schools.</t>
  </si>
  <si>
    <t>https://admission-is.bnu.edu.cn/english/index.html</t>
  </si>
  <si>
    <t>https://admission.zstu.edu.cn/En/ApplicationInfo/252</t>
  </si>
  <si>
    <t>TBD but the winter vacation is usually from December 26 to January 6.  Also, examinations for fall semester concludes in the end of January, so basically there's no classes in February and March, which means students can return home as long as they finish the examination.</t>
  </si>
  <si>
    <t>Winter vacation: Late December to early January 2026</t>
  </si>
  <si>
    <t>2026/12/24-2027/1/7 (Please see the academic calendar https://www.shibaura-it.ac.jp/en/campus_life/academic_life/academic_year.html)
The program itself will begin on September 21, but the orientation will be held about a week earlier. The exact date is not yet decided, but it will be sometime in the second week of September.</t>
  </si>
  <si>
    <t xml:space="preserve">Yes, National Day Holiday </t>
  </si>
  <si>
    <t>2026/12/23 - 2027/1/4</t>
  </si>
  <si>
    <t>Yes, it starts from mid-February to March 31.</t>
  </si>
  <si>
    <t>The academic calendar for 2026 has not yet been finalized; however, for your reference, the winter recess for the 2025 academic year is as follows:
Winter Recess: December 23 (Tue) – January 4 (Sun)</t>
  </si>
  <si>
    <t>Dec.28-Jan.8</t>
  </si>
  <si>
    <t>December 26, 2026 to January 6, 2027</t>
  </si>
  <si>
    <t>There are about 15days Christmas holidays every year.</t>
  </si>
  <si>
    <t>The Fall 2026 academic calendar is not yet finalized. At this point, we expect several 3-day public holiday breaks during the semester, rather than a designated short vacation period.</t>
  </si>
  <si>
    <t>9/25-28, 10/9-11, 10/24-26</t>
  </si>
  <si>
    <t>https://www.tsukuba.ac.jp/en/academics/academic-calendar/2026.html</t>
  </si>
  <si>
    <t>from early February to the end of March</t>
  </si>
  <si>
    <t>Between late December to Early January</t>
  </si>
  <si>
    <t>★Year end and new year holiday (about 5 days)　★From early February to the end of March (Most courses end at the beginning of February.</t>
  </si>
  <si>
    <t>Mid-autumn Festival (Sep 25-28), Double Tenth Day (Oct 9-11), Christmas holidays (Dec 24-27)</t>
  </si>
  <si>
    <t>2026/12/26-2027/1/3</t>
  </si>
  <si>
    <t>18 weeks</t>
  </si>
  <si>
    <t>Oct. 29 – Nov. 4;
Dec. 22 – Jan.2;
Jan 11;
Jan 15-16; Feb. 1 – March 31</t>
  </si>
  <si>
    <t>2026/10/1-2026/10/7</t>
  </si>
  <si>
    <t>Early September 2026 (Exact date TBC)</t>
  </si>
  <si>
    <t>Mid January 2027(Exact date TBC)</t>
  </si>
  <si>
    <t>For reference, the Fall semester in China usually includes the Mid-Autumn Festival holiday (approx. 3 days) and the National Day holiday (approx. 7 days) in September/October. The exact dates for 2026 are to be confirmed (TBC).</t>
  </si>
  <si>
    <t>Sep</t>
  </si>
  <si>
    <t>January</t>
  </si>
  <si>
    <t>National holiday Oct 1.-7</t>
  </si>
  <si>
    <t>24/12/2026-07/01/2027</t>
  </si>
  <si>
    <t>한양대 선발기준</t>
    <phoneticPr fontId="3" type="noConversion"/>
  </si>
  <si>
    <t>applicants need good academic record at their home univserity.</t>
    <phoneticPr fontId="3" type="noConversion"/>
  </si>
  <si>
    <t>인기(대학순위)</t>
  </si>
  <si>
    <t>지원 가능 학과</t>
  </si>
  <si>
    <t>메일 발송 여부</t>
  </si>
  <si>
    <t>OSR 허용여부</t>
  </si>
  <si>
    <t>https://globale3.studioabroad.com/</t>
    <phoneticPr fontId="3" type="noConversion"/>
  </si>
  <si>
    <t>www.hanze.nl/applicationexchange</t>
    <phoneticPr fontId="3" type="noConversion"/>
  </si>
  <si>
    <t>www.hanze.nl/factsheetexchange</t>
    <phoneticPr fontId="3" type="noConversion"/>
  </si>
  <si>
    <t>수강불가학과에 business 검색 안됨(다 가능한듯?)</t>
    <phoneticPr fontId="3" type="noConversion"/>
  </si>
  <si>
    <t>O</t>
    <phoneticPr fontId="3" type="noConversion"/>
  </si>
  <si>
    <t>https://drive.google.com/file/d/18gpr59Z_eX10Gnrv1GZdEeNDNnybYsii/view?usp=sharing</t>
    <phoneticPr fontId="3" type="noConversion"/>
  </si>
  <si>
    <t>https://uni-tuebingen.de/en/international/study-in-tuebingen/erasmus-and-exchange-to-tuebingen/</t>
    <phoneticPr fontId="3" type="noConversion"/>
  </si>
  <si>
    <t>https://bayreuth.adv-pub.moveon4.de/home-page-2051/</t>
    <phoneticPr fontId="3" type="noConversion"/>
  </si>
  <si>
    <t>https://www.europa-uni.de/de/internationalitaet/_dokumente/incoming/factsheet-viadrina-25-26.pdf</t>
    <phoneticPr fontId="3" type="noConversion"/>
  </si>
  <si>
    <t>https://en.ism.de/exchange-students/international-business-certificate</t>
    <phoneticPr fontId="3" type="noConversion"/>
  </si>
  <si>
    <t>eva.quel@ism.de</t>
  </si>
  <si>
    <t>Factsheet 25/26: https://acrobat.adobe.com/id/urn:aaid:sc:EU:e2d5c6a5-b096-43e8-b8bc-8bd2f5d7bf93 ; Exchange Student Guide: https://acrobat.adobe.com/id/urn:aaid:sc:EU:ab57b14c-6a26-4681-9481-b9b0180f3e75 ; Guide for Freshies: https://acrobat.adobe.com/id/urn:aaid:sc:EU:874a821d-0b41-410b-8eea-123fa2981bfa ; Course Catalogue 25/26: https://acrobat.adobe.com/id/urn:aaid:sc:EU:3382d420-f2a7-477a-8ae7-c98ae3cd3219</t>
    <phoneticPr fontId="3" type="noConversion"/>
  </si>
  <si>
    <t>http://www.ia.uni-stuttgart.de/internat/bewerber/program/Overseas/index.en.html</t>
    <phoneticPr fontId="3" type="noConversion"/>
  </si>
  <si>
    <t xml:space="preserve">Exchange students at the University of Bamberg are free in their course choice which means that they can choose from our full course catalogue, UnivIS, regardless of faculty, field of study or study level.
However, for classes in Business Administration, Communication Science, and Psychology, students who do not major in these fields need to first contact the individual lecturers before the start of the lecturing period to ask whether they may attend their classes.
</t>
    <phoneticPr fontId="3" type="noConversion"/>
  </si>
  <si>
    <t>https://www.uni-bamberg.de/en/studies/exchange-students-eg-erasmus/what-can-i-study/</t>
    <phoneticPr fontId="3" type="noConversion"/>
  </si>
  <si>
    <t>www.hs-esslingen.de/incoming</t>
    <phoneticPr fontId="3" type="noConversion"/>
  </si>
  <si>
    <t>www.hs-esslingen.de/etc</t>
    <phoneticPr fontId="3" type="noConversion"/>
  </si>
  <si>
    <t>https://www.hnu.de/en/international/international-exchange-students/courses-taught-in-english</t>
    <phoneticPr fontId="3" type="noConversion"/>
  </si>
  <si>
    <t>https://www.hs-worms.de/international/incoming-students/exchange-students/course-offer-in-english</t>
    <phoneticPr fontId="3" type="noConversion"/>
  </si>
  <si>
    <t>답장여부</t>
    <phoneticPr fontId="3" type="noConversion"/>
  </si>
  <si>
    <t>https://www.uni.lu/en/mobility/incoming-exchange-students/how-do-you-apply/</t>
    <phoneticPr fontId="3" type="noConversion"/>
  </si>
  <si>
    <t>https://admissions.ktu.edu/exchange-students/#courses</t>
    <phoneticPr fontId="3" type="noConversion"/>
  </si>
  <si>
    <t>https://vilniustech.lt/for-international-students/for-exchange-students/studies/319312?#319320</t>
    <phoneticPr fontId="3" type="noConversion"/>
  </si>
  <si>
    <t>https://www.letu.edu/academics/all-academics.html#ContentBlock-2-1</t>
    <phoneticPr fontId="3" type="noConversion"/>
  </si>
  <si>
    <t>https://www.letu.edu/global-initiatives/exchange-process.html#ContentBlock-2-1</t>
    <phoneticPr fontId="3" type="noConversion"/>
  </si>
  <si>
    <t>https://ww1.oswego.edu/international/english-proficiency-requirements</t>
    <phoneticPr fontId="3" type="noConversion"/>
  </si>
  <si>
    <t>https://ww1.oswego.edu/international/exchange-students</t>
    <phoneticPr fontId="3" type="noConversion"/>
  </si>
  <si>
    <t>https://www.uco.edu/students/oga/future-students/</t>
    <phoneticPr fontId="3" type="noConversion"/>
  </si>
  <si>
    <t>https://feb.kuleuven.be/eng/international/coming-to-feb-ku-leuven/informationforincomingstudents</t>
    <phoneticPr fontId="3" type="noConversion"/>
  </si>
  <si>
    <t>https://www.vub.be/en/internationalisation-vub/international-relations-what-we-do-how-you-can-reach-us/exchange-erasmus-projects/come-vub-exchange</t>
    <phoneticPr fontId="3" type="noConversion"/>
  </si>
  <si>
    <t>incoming@zv.uni-tuebingen.de,</t>
  </si>
  <si>
    <t>incoming-exchange@uni-bayreuth.de,</t>
  </si>
  <si>
    <t>students-in@europa-uni.de,</t>
  </si>
  <si>
    <t>eva.quel@ism.de,</t>
  </si>
  <si>
    <t>international@karlshochschule.de,</t>
  </si>
  <si>
    <t>mreis@hs-worms.de</t>
  </si>
  <si>
    <t>보낸 메일 주소</t>
    <phoneticPr fontId="3" type="noConversion"/>
  </si>
  <si>
    <t>bri.incoming@uni.lu,</t>
  </si>
  <si>
    <t>incoming@vilniustech.lt,</t>
  </si>
  <si>
    <t>incoming@ktu.lt,</t>
  </si>
  <si>
    <t>ZachJones@letu.edu,</t>
  </si>
  <si>
    <t>amy.wallace@oswego.edu,</t>
  </si>
  <si>
    <t>UCO Global &lt;international@uco.edu&gt;,</t>
  </si>
  <si>
    <t>kathleen.monsieur@kuleuven.be,</t>
  </si>
  <si>
    <t>exchange.incoming@vub.be</t>
  </si>
  <si>
    <t>이 학교 홈페이지에서 작성</t>
    <phoneticPr fontId="3" type="noConversion"/>
  </si>
  <si>
    <t>m.molozhon@cbs.de</t>
  </si>
  <si>
    <t>exchange@org.hanze.nl</t>
  </si>
  <si>
    <t>incoming@ktu.lt</t>
  </si>
  <si>
    <t>https://www.utc.fr/en/international-relations/international-mobility/incoming-mobility/</t>
    <phoneticPr fontId="3" type="noConversion"/>
  </si>
  <si>
    <t>TC → Antoine Jouglet: antoine.jouglet@hds.utc.fr
ID&amp;M → Nathalie Darene: nathalie.darene@utc.fr</t>
    <phoneticPr fontId="3" type="noConversion"/>
  </si>
  <si>
    <t>https://www.devinci.fr/en/international/welcome-desk/</t>
    <phoneticPr fontId="3" type="noConversion"/>
  </si>
  <si>
    <t>incoming@devinci.fr</t>
  </si>
  <si>
    <t>https://aloha.rennes-sb.com/hc/en-us/categories/360002608799--Incoming-Exchange-Students</t>
    <phoneticPr fontId="3" type="noConversion"/>
  </si>
  <si>
    <t>exchange@rennes-sb.com</t>
  </si>
  <si>
    <t>https://student.kedge.edu/exchange-students</t>
    <phoneticPr fontId="3" type="noConversion"/>
  </si>
  <si>
    <t>https://drive.google.com/file/d/1rZw8UtAI-Ph5TOUiOPe9LFCWdftWqqYi/view?usp=drive_link</t>
    <phoneticPr fontId="3" type="noConversion"/>
  </si>
  <si>
    <t>incoming@kedgebs.com</t>
  </si>
  <si>
    <t>https://en.em-normandie.com/em-normandie-experience/open-world-studying-abroad/exchange-programmes</t>
    <phoneticPr fontId="3" type="noConversion"/>
  </si>
  <si>
    <t>https://www.iscparis.com/en/incoming-students/</t>
    <phoneticPr fontId="3" type="noConversion"/>
  </si>
  <si>
    <t>exchange@iscparis.com</t>
  </si>
  <si>
    <t>https://international-welcome.unistra.fr/</t>
    <phoneticPr fontId="3" type="noConversion"/>
  </si>
  <si>
    <t>https://www.unistra.fr/facultes-ecoles-instituts
https://formations.unistra.fr/fr/recherche-des-cours-ouverts-a-la-mobilite.html (update in process)</t>
    <phoneticPr fontId="3" type="noConversion"/>
  </si>
  <si>
    <t>https://www.univ-paris8.fr/-Programmes-d-echanges-informations-generales-778-</t>
    <phoneticPr fontId="3" type="noConversion"/>
  </si>
  <si>
    <t>incoming@univ-paris8.fr</t>
  </si>
  <si>
    <t xml:space="preserve">The school website is still under revision. This following page shows part of the program accessible to exchange students: 
https://www.centralesupelec.fr/en/programmes/ingenieur-generaliste </t>
    <phoneticPr fontId="3" type="noConversion"/>
  </si>
  <si>
    <t>https://www.centralesupelec.fr/en/programmes/ingenieur-generaliste</t>
    <phoneticPr fontId="3" type="noConversion"/>
  </si>
  <si>
    <t>https://sway.cloud.microsoft/pw0vfIJzSxUAjaxp?ref=Link</t>
    <phoneticPr fontId="3" type="noConversion"/>
  </si>
  <si>
    <t>incoming-international@epita.fr</t>
  </si>
  <si>
    <t>https://www.hanken.fi/en/students/international-opportunities/incoming-exchange-students</t>
    <phoneticPr fontId="3" type="noConversion"/>
  </si>
  <si>
    <t>incoming.mobility@hanken.fi</t>
  </si>
  <si>
    <t>https://www.haaga-helia.fi/en/exchange-studies-haaga-helia</t>
    <phoneticPr fontId="3" type="noConversion"/>
  </si>
  <si>
    <t>exch@haaga-helia.fi</t>
    <phoneticPr fontId="3" type="noConversion"/>
  </si>
  <si>
    <t>https://www.uc3m.es/studies/international-exchange-students-in-UC3M-/bachelor-degrees</t>
    <phoneticPr fontId="3" type="noConversion"/>
  </si>
  <si>
    <t>mne@uc3m.es</t>
  </si>
  <si>
    <t>https://www.upv.es/entidades/OPII/infoweb/pi/info/818854normali.html</t>
    <phoneticPr fontId="3" type="noConversion"/>
  </si>
  <si>
    <t>opii@upv.es</t>
    <phoneticPr fontId="3" type="noConversion"/>
  </si>
  <si>
    <t>https://servicios.urjc.es/cui/</t>
    <phoneticPr fontId="3" type="noConversion"/>
  </si>
  <si>
    <t>https://www.urjc.es/estudios/grado/9753-grado-en-ingenieria-en-tecnologias-de-telecomunicacion
https://www.urjc.es/estudios/grado/2462-biomedial-engineering</t>
    <phoneticPr fontId="3" type="noConversion"/>
  </si>
  <si>
    <t>https://www.uma.es/relaciones-internacionales/cms/menu/erasmus/incoming-students/</t>
    <phoneticPr fontId="3" type="noConversion"/>
  </si>
  <si>
    <t>info@uma.es</t>
  </si>
  <si>
    <t>https://www.comillas.edu/en/international-relations-service/</t>
    <phoneticPr fontId="3" type="noConversion"/>
  </si>
  <si>
    <t>cgonzalez@comillas.edu</t>
  </si>
  <si>
    <t>https://www.udl.cat/ca/serveis/ori/estudiantat_estranger/eng/mobility/</t>
    <phoneticPr fontId="3" type="noConversion"/>
  </si>
  <si>
    <t>incoming@udl.cat</t>
  </si>
  <si>
    <t>https://www.ub.edu/mobilitat-internacional/en/incoming-students</t>
    <phoneticPr fontId="3" type="noConversion"/>
  </si>
  <si>
    <t>global.ub@ub.edu</t>
  </si>
  <si>
    <t>2차 메일 여부</t>
    <phoneticPr fontId="3" type="noConversion"/>
  </si>
  <si>
    <t>2차 메일 답장 여부</t>
    <phoneticPr fontId="3" type="noConversion"/>
  </si>
  <si>
    <t>1차 답장 내용</t>
    <phoneticPr fontId="3" type="noConversion"/>
  </si>
  <si>
    <t>Dear Sanyun,
Thank you very much for your message and for your interest in coming to UBT for an exchange stay.
From our side, a language certificate is only required if you are planning to apply for one of the following three exchange programmes: Law, Religion or English studies.
To apply to one of these programmes you’ll need an IELTS certificate with an overall score of at least 5.5.
One score retakes are usually not accepted but I hope that – considering the information above – that won’t be an issue.
Please let me know if you have any further questions.
Kind regards from snowy Bayreuth,
Insa</t>
    <phoneticPr fontId="3" type="noConversion"/>
  </si>
  <si>
    <t>O</t>
    <phoneticPr fontId="3" type="noConversion"/>
  </si>
  <si>
    <t>Dear Sanyun Park,
Thank you for your email. Please see here our language requirements with further details: https://uni-tuebingen.de/en/113870#c1810849.
I hope this information helps.</t>
    <phoneticPr fontId="3" type="noConversion"/>
  </si>
  <si>
    <r>
      <t xml:space="preserve">Dear Sanyun,
I’m glad to hear that you will spend your study abroad semester with us at ISM </t>
    </r>
    <r>
      <rPr>
        <sz val="8"/>
        <color rgb="FF222222"/>
        <rFont val="Segoe UI Symbol"/>
        <family val="2"/>
      </rPr>
      <t>😊</t>
    </r>
    <r>
      <rPr>
        <sz val="8"/>
        <color rgb="FF222222"/>
        <rFont val="Arial"/>
        <family val="2"/>
      </rPr>
      <t xml:space="preserve">
Yes, we do accept IELTS results that include this one skill retake. As alternative, you can also submit one of these certificates:
TOEFL internet-based: 80+
TOEFL paper version: 550+
TOEIC (out of 990): 400+ (listening), 385+ (reading)
Cambridge B2
written confirmation of home-university certifying very good oral and written English skills of minimum B2
Best wishes,
Eva</t>
    </r>
    <phoneticPr fontId="3" type="noConversion"/>
  </si>
  <si>
    <t>O</t>
    <phoneticPr fontId="3" type="noConversion"/>
  </si>
  <si>
    <t>Dear Sanyun Park,
Nice to e-meet you! I am glad to learn that you plan an exchange semester at our university.
As to your reasonable question: Yes, we will accept your IELTS one skill retake option. You still have time to do so, we give students the chance to hand in the language certificate before arrival. This means that you could also apply with a lower overall score proof and continue with English language certificate in order to be able to hand it in before arrival.
We are looking forward to your application!
Kind regards from Neu-Ulm!
Mirjam Wenke</t>
    <phoneticPr fontId="3" type="noConversion"/>
  </si>
  <si>
    <t>Hello Sanyun,
Thank you for your email and for your interest in the study abroad programme at CBS International Business School.
To apply for a semester abroad at CBS, you are required to provide proof of English language proficiency at B2 level, issued no more than two years prior to the application date. Moreover, our general aim is for incoming exchange students to have a solid B2 level of English. Based on our experience, students with this level usually find it easier to follow the courses and tend to complete their semester abroad more successfully. For this reason, we recommend aiming above the absolute minimum score, if possible.
Currently, we accept the following proofs of English proficiency:
IELTS
TOEFL iBT
TOEIC (Listening &amp; Reading)
Cambridge English Scale
EF SET
Duolingo English Test
TOEFL ITP
Alternatively, we can also accept a confirmation from your home university stating that your study programme is taught in English, or other documents that clearly prove your English language proficiency.
If a student meets only the minimum score, the result is reviewed in relation to the overall application, including academic background, previous studies in English, and any additional supporting documents.
Regarding the IELTS One Skill Retake, we do not yet have extensive experience with this option. However, if you already have IELTS result not older that 2 years and plan to retake a specific part to improve your score, this should generally not be a problem. In this case, please make sure to submit the complete IELTS result (original test and One Skill Retake) together with your application.
We hope this clarifies the requirements and helps you plan your next steps. Should you have any further questions, please feel free to reach out.
Kind regards,
Maria</t>
    <phoneticPr fontId="3" type="noConversion"/>
  </si>
  <si>
    <t>Hello Sanyun,
Thank you for your email and for your interest in the study abroad programme at CBS International Business School.
To apply for a semester abroad at CBS, you are required to provide proof of English language proficiency at B2 level, issued no more than two years prior to the application date. Moreover, our general aim is for incoming exchange students to have a solid B2 level of English. Based on our experience, students with this level usually find it easier to follow the courses and tend to complete their semester abroad more successfully. For this reason, we recommend aiming above the absolute minimum score, if possible.
Currently, we accept the following proofs of English proficiency:
IELTS
TOEFL iBT
TOEIC (Listening &amp; Reading)
Cambridge English Scale
EF SET
Duolingo English Test
TOEFL ITP
Alternatively, we can also accept a confirmation from your home university stating that your study programme is taught in English, or other documents that clearly prove your English language proficiency.
If a student meets only the minimum score, the result is reviewed in relation to the overall application, including academic background, previous studies in English, and any additional supporting documents.
Regarding the IELTS One Skill Retake, we do not yet have extensive experience with this option. However, if you already have IELTS result not older that 2 years and plan to retake a specific part to improve your score, this should generally not be a problem. In this case, please make sure to submit the complete IELTS result (original test and One Skill Retake) together with your application.
We hope this clarifies the requirements and helps you plan your next steps. Should you have any further questions, please feel free to reach out.
Kind regards,
Maria</t>
    <phoneticPr fontId="3" type="noConversion"/>
  </si>
  <si>
    <t>Bonjour, 
I am sorry, I do not understand your question.
It is for your Home university to accept your file for application, not us.
Kind regards,</t>
    <phoneticPr fontId="3" type="noConversion"/>
  </si>
  <si>
    <r>
      <t xml:space="preserve">Dear SANYUN,
We are happy to know you are planning for your exchange studies for Haaga-Helia! </t>
    </r>
    <r>
      <rPr>
        <sz val="9"/>
        <rFont val="Segoe UI Symbol"/>
        <family val="3"/>
      </rPr>
      <t>😊</t>
    </r>
    <r>
      <rPr>
        <sz val="9"/>
        <rFont val="맑은 고딕"/>
        <family val="3"/>
        <charset val="129"/>
        <scheme val="minor"/>
      </rPr>
      <t xml:space="preserve">
Yes, we accept IELTS results that include a One Skill Retake.
Have a nice week!</t>
    </r>
    <phoneticPr fontId="3" type="noConversion"/>
  </si>
  <si>
    <t>Hello,
We accept the following English language tests with the minimum required scores:
TOEFL iBT: minimum score of 79/120
TOEFL ITP: minimum score of 543/677
TOEIC: minimum score of 785/990
IELTS: minimum overall score of 6.5
Duolingo: minimum score of 90
Cambridge: minimum level B2
Only the overall score is considered for these tests.
Best regards,</t>
    <phoneticPr fontId="3" type="noConversion"/>
  </si>
  <si>
    <t>X</t>
    <phoneticPr fontId="3" type="noConversion"/>
  </si>
  <si>
    <t>홈페이지에서 직접 작성
[rt-dri.unistra.fr #118729] [Unistra International] - Formulaire de contact - psyun0323@gmail.com - Gmail</t>
    <phoneticPr fontId="3" type="noConversion"/>
  </si>
  <si>
    <r>
      <t xml:space="preserve">Dear Sanyun,
Greetings from Rennes!
Thanks for your message and interest in pursuing an exchange semester here at Rennes SB.  In terms of English level, as long as your IELTS score is equivalent to B2, we will be able to accept this version of the test.  You may also provide a letter from your Home Institution as proof.
For your information, we offer different programmes depending on the level of your studies on our Rennes campus. (see Course Offer documents here)
Level 2 – equivalent to Bachelor 2nd year
Level 3 – equivalent to Bachelor 3rd year
Level 4 – equivalent to Bachelor 4th year
Level 5 – equivalent to Master’s
We only offer business courses so students need to have the appropriate background to be able to apply.  Please note that it is not possible to mix the programmes, additionally some of them have specializations that students need to select and then choose from the corresponding course list.
FYI, here is the link to our Incoming Exchange student pages and a couple videos of our campus and the city of Rennes as well: 
</t>
    </r>
    <r>
      <rPr>
        <sz val="9"/>
        <rFont val="Segoe UI Symbol"/>
        <family val="3"/>
      </rPr>
      <t>🌴</t>
    </r>
    <r>
      <rPr>
        <sz val="9"/>
        <rFont val="맑은 고딕"/>
        <family val="3"/>
        <charset val="129"/>
        <scheme val="minor"/>
      </rPr>
      <t xml:space="preserve">Explore the Rennes Campus
</t>
    </r>
    <r>
      <rPr>
        <sz val="9"/>
        <rFont val="Segoe UI Symbol"/>
        <family val="3"/>
      </rPr>
      <t>📍</t>
    </r>
    <r>
      <rPr>
        <sz val="9"/>
        <rFont val="맑은 고딕"/>
        <family val="3"/>
        <charset val="129"/>
        <scheme val="minor"/>
      </rPr>
      <t xml:space="preserve"> City of Rennes
I have additionally attached our Fact Sheet for your information.
Have a great day ahead! </t>
    </r>
    <r>
      <rPr>
        <sz val="9"/>
        <rFont val="Segoe UI Symbol"/>
        <family val="3"/>
      </rPr>
      <t>😊</t>
    </r>
    <r>
      <rPr>
        <sz val="9"/>
        <rFont val="맑은 고딕"/>
        <family val="3"/>
        <charset val="129"/>
        <scheme val="minor"/>
      </rPr>
      <t xml:space="preserve">
Kind Regards,
Leah Honiberg</t>
    </r>
    <phoneticPr fontId="3" type="noConversion"/>
  </si>
  <si>
    <t>Dear Sanyun,
I hope this mail finds you well. We are very happy to know that you are interested in KEDGE for your mobility abroad.
On our side, we can indeed accept the IELTS test score with a one skill retake as long as your overall score at the end reaches a 6.
I wish you a good day,
Best.</t>
    <phoneticPr fontId="3" type="noConversion"/>
  </si>
  <si>
    <t>Dear Sanyun Park,
Thank you for your message. Wonderful to hear that you are considering Hanken for your exchange term!
For us it is acceptable for your IELTS test to include a One Skill Retake as long as the overall is 6.0. A good command of English equivalent to CEFR minimum B2 (TOEFL minimum 78 iBT or IELTS minimum band 6.0) is an essential study tool at Hanken, where teaching and learning involve small group work, oral presentations, written assignments, term papers, and written examinations, but it is no problem to have improved your score with the One skill Retake.
Please don’t hesitate to ask if you have any other questions.
Wishing you a great start to the week!
Best regards,</t>
    <phoneticPr fontId="3" type="noConversion"/>
  </si>
  <si>
    <t>Dear candidate,
Thank you for your interest in EM Normandie Business School.
My name is Isamar Nungaray, I am the Admission Manager for the Americas and Southeast Asia region, and I would be delighted to support you throughout your application process.
How to apply ?
To validate your admission to EM Normandie, please complete your online application at the following link: https://join.em-normandie.com/login
You will need to upload:
· Your CV (in French if you choose a programme taught in French / in English if you choose a programme taught in English)
· Your transcripts and diplomas (as a single PDF document)
· The €50 application fee payment
· A language test (see details below)
· Any additional document that may support your application (motivation letter, recommendation letter, etc.)
Language test requirements :
Depending on the language of instruction of your chosen programme:
• Programme taught in French: A minimum B2 level is required. Accepted tests: TCF or DELF B2. → Exemption possible if your previous studies were conducted in French (upon proof). → Exemption if you are a citizen of a country where French is the official language.
• Programme taught in English: A minimum B2 level is required. Accepted tests: IELTS (≥ 5.5), TOEIC (≥ 785), TOEFL, or equivalent. → Exemption possible if your previous studies were conducted in English (upon proof). → Exemption if you are a citizen of a country where English is the official language.
I remain at your disposal if you have any questions or if you would like to check your eligibility. You can also reach me directly via WhatsApp: [+33 7 62709666].
Thank you,</t>
    <phoneticPr fontId="3" type="noConversion"/>
  </si>
  <si>
    <t>Dear Sanyun
This is possible if this indeed can make your total come to B2. Please make sure to try and improve your English as much as possible in the coming months that will make the following of courses and studying easier.
Kind regards
Kathleen</t>
    <phoneticPr fontId="3" type="noConversion"/>
  </si>
  <si>
    <t>Sanyun,
Thank you for your question and interest in our exchange program.
For the IELTS requirement you only need to score a 6.0 overall band score to be exempt from taking the ESL courses when you attend here. If you score at least a 4.0, you will be admitted as an exchange student, but you must also take two ESL courses.</t>
    <phoneticPr fontId="3" type="noConversion"/>
  </si>
  <si>
    <t>Hello Sanyun,
Oh great, for the IELTS your overall score should be 5.5. But if your overall score falls below that, a separate interview would be conducted for you. 
Proof of English Proficiency
Undergraduate 
Submit one of the following to satisfy the requirement:
TOEFL - 61 IBT (Internet-based test) or 500 PBT (paper-based test);
IELTS - 5.5 overall band;
PTE Academic - 44;
iTEP Academic - 3.5; or,
Proof of 12 weeks of intensive English study at an approved ESL program in the U.S. after achieving a minimum TOEFL score of 460 (PBT) or 48 (IBT) or minimum IELTS overall band of 5.0 or or PTE Academic of 36 or iTEP of 3.0.
Note: Refer to UCO Office of Global Affairs for a list of approved ESL programs in the U.S. or to find out about an ESL program on UCO's campus.
View the list of UCO Approved Native English Speaking Countries.
UCO Institutional Code for TOEFL is 6091.</t>
    <phoneticPr fontId="3" type="noConversion"/>
  </si>
  <si>
    <t>minimum 5.5</t>
    <phoneticPr fontId="3" type="noConversion"/>
  </si>
  <si>
    <t>Dear Sanyun:
Below, what is accepted for the IELTS:
IELTS (Academic Test and One Skill Retake) with the following minimum level:  overall band score of at least 6.5, with a minimum subscore of 6.0 in each of the 4 components;
On the exchange website, you also find what is specifically accepted for exchange students if you wish to proceed differently.
Kind regards,</t>
    <phoneticPr fontId="3" type="noConversion"/>
  </si>
  <si>
    <t>minimum 6.5</t>
    <phoneticPr fontId="3" type="noConversion"/>
  </si>
  <si>
    <t>Hello Sanyun,
Yes, we can accept a One Skill Retake for exchange student eligibility.
Thank you for reaching out and your interest in SUNY Oswego!</t>
    <phoneticPr fontId="3" type="noConversion"/>
  </si>
  <si>
    <t>Dear student,
Please note that your total score needs to be a B2. We accept the attached certificate as well, filled, signed and stamped by your university.
Best wishes</t>
    <phoneticPr fontId="3" type="noConversion"/>
  </si>
  <si>
    <t>O(한양대 기준 중요)</t>
    <phoneticPr fontId="3" type="noConversion"/>
  </si>
  <si>
    <t>O(결과 원함)</t>
    <phoneticPr fontId="3" type="noConversion"/>
  </si>
  <si>
    <t>Dear student,
Do you have an example of how the test looks like?</t>
    <phoneticPr fontId="3" type="noConversion"/>
  </si>
  <si>
    <t>Dear Sanyun,
No worries, we do accept IELTS results that include a One Skill Retake
With kind regards,</t>
    <phoneticPr fontId="3" type="noConversion"/>
  </si>
  <si>
    <t>Dear student,
English level is just required for courses taught in English. IELTS level required (from 5.5 to 6.5) is that equivalente to B2 (CEFR-European Union languages framework).
Your 6.0 is good enough despite getting it with a retake option.
Feel free to contact us should you have any question or need additional information.
Regards from Lleida,</t>
    <phoneticPr fontId="3" type="noConversion"/>
  </si>
  <si>
    <t>minimum5.5</t>
    <phoneticPr fontId="3" type="noConversion"/>
  </si>
  <si>
    <t>Dear Sanyun, 
Thank you for your interest in Our University.
Regarding languages request, I inform you that Comillas University does not require any official test, although we highly recommend a B2 level of English and/or Spanish, depending on the courses you wish to take.
Best,</t>
    <phoneticPr fontId="3" type="noConversion"/>
  </si>
  <si>
    <t>한양대 기준만 맞추면 됨</t>
    <phoneticPr fontId="3" type="noConversion"/>
  </si>
  <si>
    <t>Dear Sanyun, 
We do not ask for an official language certificate, probably you should check with your university if that is ok with them (may they have some requisites in your ourn Call for mobilities).
Un saludo,</t>
    <phoneticPr fontId="3" type="noConversion"/>
  </si>
  <si>
    <t>한양대 기준 중요</t>
    <phoneticPr fontId="3" type="noConversion"/>
  </si>
  <si>
    <t>Hello Sanyun,
We might accept slightly lower marks. What result did you get?</t>
    <phoneticPr fontId="3" type="noConversion"/>
  </si>
  <si>
    <t>Dear Sanyun Park,
We accept an IELTS One Skill Retake as long as the result totalled with the other results corresponds to a language level of minimum B2 so 6.0 points. 
That's why we recommend you preparing well for your exchange semester, since all of our modules are teached in English and the B2 English level only enables you to understand the basics of what the professors are teaching.
Best regards</t>
    <phoneticPr fontId="3" type="noConversion"/>
  </si>
  <si>
    <t>Dear Sanyun,
we expect our incoming exchange students to bring level B2 in English (or in German), but we do not require any language certificates to confirm this. Instead we trust in the good selection of exchange students at our partner universities. This way it will be up to the International Office at your home university to decide if they select you as an exchange student to the Viadrina.
Kind regards,
Bernd</t>
    <phoneticPr fontId="3" type="noConversion"/>
  </si>
  <si>
    <t>한양대 기준 선발</t>
    <phoneticPr fontId="3" type="noConversion"/>
  </si>
  <si>
    <t>Dear Ms Park,
Thank you for your message and for your interest in the exchange program at UTC.
For academic exchanges at UTC, students are required to demonstrate a minimum B1 level in French.
If students also wish to take courses taught in English, a minimum B1 level in English is required as well.
Please note that courses taught in English are only available in the following departments:
Computer Engineering,
Mechanical Engineering,
Urban Engineering.
Therefore, the availability of English-taught courses depends on your field of study.
Regarding language certification, UTC assesses language proficiency based on the required CEFR level (B1). You should ensure that the language document you provide clearly demonstrates this level.
The application deadline for the Autumn 2026 semester is May 1st.
You can find detailed and up-to-date information about the exchange program and application procedures on our institutional website: https://www.utc.fr/en/international-relations/international-mobility/incoming-mobility/
Should you have any further questions, please do not hesitate to contact us.
Best regards,</t>
    <phoneticPr fontId="3" type="noConversion"/>
  </si>
  <si>
    <t>minimum B1</t>
    <phoneticPr fontId="3" type="noConversion"/>
  </si>
  <si>
    <t>https://www.sh.se/english/sodertorn-university/programmes--courses</t>
    <phoneticPr fontId="3" type="noConversion"/>
  </si>
  <si>
    <t>https://www.sh.se/exchange</t>
    <phoneticPr fontId="3" type="noConversion"/>
  </si>
  <si>
    <t>felicia.fernelius@sh.se</t>
    <phoneticPr fontId="3" type="noConversion"/>
  </si>
  <si>
    <t>O</t>
    <phoneticPr fontId="3" type="noConversion"/>
  </si>
  <si>
    <t>https://liu.se/en/article/application-procedure-faculty-of-arts-and-sciences?faculty=1</t>
    <phoneticPr fontId="3" type="noConversion"/>
  </si>
  <si>
    <t>홈페이지에서 직접 작성</t>
    <phoneticPr fontId="3" type="noConversion"/>
  </si>
  <si>
    <t>https://www.umu.se/en/education/studies/exchange-studies/</t>
    <phoneticPr fontId="3" type="noConversion"/>
  </si>
  <si>
    <t>infocenter@umu.se</t>
    <phoneticPr fontId="3" type="noConversion"/>
  </si>
  <si>
    <t>https://liu.se/en/article/exchange-courses?faculty=3</t>
    <phoneticPr fontId="3" type="noConversion"/>
  </si>
  <si>
    <t>Linköping University, Faculty of Arts and Sciences</t>
    <phoneticPr fontId="3" type="noConversion"/>
  </si>
  <si>
    <t>Linköping University, Faculty of Arts and Sciences와 마찬가지로 홈페이지에서 직접 작성</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</si>
</sst>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33">
    <font>
      <sz val="11"/>
      <color theme="1"/>
      <name val="맑은 고딕"/>
      <family val="2"/>
      <charset val="129"/>
      <scheme val="minor"/>
    </font>
    <font>
      <sz val="11"/>
      <color theme="1"/>
      <name val="맑은 고딕"/>
      <family val="2"/>
      <charset val="129"/>
      <scheme val="minor"/>
    </font>
    <font>
      <sz val="9"/>
      <name val="맑은 고딕"/>
      <family val="3"/>
      <charset val="129"/>
      <scheme val="minor"/>
    </font>
    <font>
      <sz val="8"/>
      <name val="맑은 고딕"/>
      <family val="2"/>
      <charset val="129"/>
      <scheme val="minor"/>
    </font>
    <font>
      <sz val="9"/>
      <color theme="1"/>
      <name val="맑은 고딕"/>
      <family val="3"/>
      <charset val="129"/>
      <scheme val="minor"/>
    </font>
    <font>
      <sz val="9"/>
      <name val="맑은 고딕"/>
      <family val="2"/>
      <charset val="129"/>
      <scheme val="minor"/>
    </font>
    <font>
      <u/>
      <sz val="11"/>
      <color theme="10"/>
      <name val="맑은 고딕"/>
      <family val="2"/>
      <charset val="129"/>
      <scheme val="minor"/>
    </font>
    <font>
      <sz val="9"/>
      <color theme="1"/>
      <name val="맑은 고딕"/>
      <family val="2"/>
      <charset val="129"/>
      <scheme val="minor"/>
    </font>
    <font>
      <b/>
      <sz val="14"/>
      <color theme="4" tint="0.39997558519241921"/>
      <name val="Arial"/>
      <family val="2"/>
    </font>
    <font>
      <b/>
      <sz val="14"/>
      <color theme="4" tint="0.39997558519241921"/>
      <name val="맑은 고딕"/>
      <family val="3"/>
      <charset val="129"/>
    </font>
    <font>
      <sz val="14"/>
      <color theme="4" tint="0.39997558519241921"/>
      <name val="Arial"/>
      <family val="2"/>
    </font>
    <font>
      <sz val="10"/>
      <name val="맑은 고딕"/>
      <family val="3"/>
      <charset val="129"/>
      <scheme val="minor"/>
    </font>
    <font>
      <b/>
      <u/>
      <sz val="10"/>
      <name val="맑은 고딕"/>
      <family val="3"/>
      <charset val="129"/>
      <scheme val="minor"/>
    </font>
    <font>
      <b/>
      <u/>
      <sz val="10"/>
      <color rgb="FFFF0000"/>
      <name val="맑은 고딕"/>
      <family val="3"/>
      <charset val="129"/>
      <scheme val="minor"/>
    </font>
    <font>
      <b/>
      <u/>
      <sz val="14"/>
      <color theme="4" tint="0.39997558519241921"/>
      <name val="맑은 고딕"/>
      <family val="3"/>
      <charset val="129"/>
      <scheme val="minor"/>
    </font>
    <font>
      <sz val="10"/>
      <color theme="1"/>
      <name val="맑은 고딕"/>
      <family val="3"/>
      <charset val="129"/>
      <scheme val="minor"/>
    </font>
    <font>
      <b/>
      <sz val="10"/>
      <color theme="1"/>
      <name val="맑은 고딕"/>
      <family val="3"/>
      <charset val="129"/>
      <scheme val="minor"/>
    </font>
    <font>
      <b/>
      <sz val="11"/>
      <color theme="1"/>
      <name val="맑은 고딕"/>
      <family val="3"/>
      <charset val="129"/>
      <scheme val="minor"/>
    </font>
    <font>
      <b/>
      <sz val="9"/>
      <color theme="1"/>
      <name val="맑은 고딕"/>
      <family val="3"/>
      <charset val="129"/>
      <scheme val="minor"/>
    </font>
    <font>
      <sz val="8"/>
      <color theme="1"/>
      <name val="맑은 고딕"/>
      <family val="3"/>
      <charset val="129"/>
    </font>
    <font>
      <sz val="9"/>
      <color rgb="FF000000"/>
      <name val="Malgun Gothic"/>
      <family val="3"/>
      <charset val="129"/>
    </font>
    <font>
      <u/>
      <sz val="9"/>
      <color rgb="FF000000"/>
      <name val="Malgun Gothic"/>
      <family val="3"/>
      <charset val="129"/>
    </font>
    <font>
      <sz val="9"/>
      <color rgb="FFFF0000"/>
      <name val="Malgun Gothic"/>
      <family val="3"/>
      <charset val="129"/>
    </font>
    <font>
      <sz val="10"/>
      <color theme="1"/>
      <name val="Arial"/>
      <family val="2"/>
    </font>
    <font>
      <sz val="8"/>
      <color rgb="FF222222"/>
      <name val="Arial"/>
      <family val="2"/>
    </font>
    <font>
      <sz val="8"/>
      <color theme="1"/>
      <name val="맑은 고딕"/>
      <family val="2"/>
      <charset val="129"/>
      <scheme val="minor"/>
    </font>
    <font>
      <sz val="11"/>
      <color rgb="FF0C0C24"/>
      <name val="Arial"/>
      <family val="2"/>
    </font>
    <font>
      <sz val="10"/>
      <color rgb="FF000000"/>
      <name val="Arial"/>
      <family val="2"/>
    </font>
    <font>
      <b/>
      <sz val="10"/>
      <color rgb="FF183D6A"/>
      <name val="OpenSans"/>
      <family val="2"/>
    </font>
    <font>
      <sz val="8"/>
      <color rgb="FF333333"/>
      <name val="Trebuchet MS"/>
      <family val="2"/>
    </font>
    <font>
      <sz val="8"/>
      <color rgb="FF222222"/>
      <name val="Segoe UI Symbol"/>
      <family val="2"/>
    </font>
    <font>
      <sz val="9"/>
      <name val="Segoe UI Symbol"/>
      <family val="3"/>
    </font>
    <font>
      <sz val="8"/>
      <color rgb="FF222222"/>
      <name val="맑은 고딕"/>
      <family val="3"/>
      <charset val="129"/>
      <scheme val="minor"/>
    </font>
  </fonts>
  <fills count="10">
    <fill>
      <patternFill patternType="none"/>
    </fill>
    <fill>
      <patternFill patternType="gray125"/>
    </fill>
    <fill>
      <patternFill patternType="solid">
        <fgColor theme="4" tint="0.59999389629810485"/>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0" tint="-0.249977111117893"/>
        <bgColor indexed="64"/>
      </patternFill>
    </fill>
    <fill>
      <patternFill patternType="solid">
        <fgColor theme="7"/>
        <bgColor indexed="64"/>
      </patternFill>
    </fill>
    <fill>
      <patternFill patternType="solid">
        <fgColor theme="0"/>
        <bgColor theme="0"/>
      </patternFill>
    </fill>
    <fill>
      <patternFill patternType="solid">
        <fgColor rgb="FFFFFFFF"/>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style="medium">
        <color indexed="64"/>
      </top>
      <bottom/>
      <diagonal/>
    </border>
    <border>
      <left style="thin">
        <color indexed="64"/>
      </left>
      <right/>
      <top style="thin">
        <color indexed="64"/>
      </top>
      <bottom style="thin">
        <color indexed="64"/>
      </bottom>
      <diagonal/>
    </border>
    <border>
      <left style="thick">
        <color rgb="FFFF0000"/>
      </left>
      <right style="thick">
        <color rgb="FFFF0000"/>
      </right>
      <top style="thick">
        <color rgb="FFFF0000"/>
      </top>
      <bottom style="thick">
        <color rgb="FFFF0000"/>
      </bottom>
      <diagonal/>
    </border>
    <border>
      <left style="thin">
        <color indexed="64"/>
      </left>
      <right style="thin">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style="thin">
        <color rgb="FF000000"/>
      </bottom>
      <diagonal/>
    </border>
  </borders>
  <cellStyleXfs count="3">
    <xf numFmtId="0" fontId="0" fillId="0" borderId="0">
      <alignment vertical="center"/>
    </xf>
    <xf numFmtId="0" fontId="6" fillId="0" borderId="0" applyNumberFormat="0" applyFill="0" applyBorder="0" applyAlignment="0" applyProtection="0">
      <alignment vertical="center"/>
    </xf>
    <xf numFmtId="0" fontId="1" fillId="0" borderId="0">
      <alignment vertical="center"/>
    </xf>
  </cellStyleXfs>
  <cellXfs count="85">
    <xf numFmtId="0" fontId="0" fillId="0" borderId="0" xfId="0">
      <alignment vertical="center"/>
    </xf>
    <xf numFmtId="49" fontId="2" fillId="2" borderId="1" xfId="0" applyNumberFormat="1" applyFont="1" applyFill="1" applyBorder="1" applyAlignment="1">
      <alignment horizontal="center" vertical="center" wrapText="1"/>
    </xf>
    <xf numFmtId="49" fontId="4" fillId="0" borderId="0" xfId="0" applyNumberFormat="1" applyFont="1" applyAlignment="1">
      <alignment horizontal="center" vertical="center" wrapText="1"/>
    </xf>
    <xf numFmtId="49" fontId="2" fillId="3" borderId="1" xfId="0" applyNumberFormat="1" applyFont="1" applyFill="1" applyBorder="1" applyAlignment="1">
      <alignment horizontal="center" vertical="center" wrapText="1"/>
    </xf>
    <xf numFmtId="49" fontId="2" fillId="0" borderId="1" xfId="0" applyNumberFormat="1" applyFont="1" applyBorder="1" applyAlignment="1">
      <alignment horizontal="center" vertical="center" wrapText="1" shrinkToFit="1"/>
    </xf>
    <xf numFmtId="49" fontId="2" fillId="0" borderId="0" xfId="0" applyNumberFormat="1" applyFont="1" applyAlignment="1">
      <alignment horizontal="center" vertical="center" wrapText="1"/>
    </xf>
    <xf numFmtId="49" fontId="5" fillId="0" borderId="0" xfId="0" applyNumberFormat="1" applyFont="1" applyAlignment="1">
      <alignment horizontal="center" vertical="center" wrapText="1"/>
    </xf>
    <xf numFmtId="0" fontId="2" fillId="0" borderId="0" xfId="0" applyFont="1">
      <alignment vertical="center"/>
    </xf>
    <xf numFmtId="0" fontId="4" fillId="0" borderId="0" xfId="0" applyFont="1">
      <alignment vertical="center"/>
    </xf>
    <xf numFmtId="0" fontId="0" fillId="0" borderId="0" xfId="0" applyAlignment="1">
      <alignment horizontal="center" vertical="center"/>
    </xf>
    <xf numFmtId="49" fontId="7" fillId="0" borderId="0" xfId="0" applyNumberFormat="1" applyFont="1" applyAlignment="1">
      <alignment horizontal="center" vertical="center" wrapText="1"/>
    </xf>
    <xf numFmtId="49" fontId="11" fillId="0" borderId="0" xfId="0" applyNumberFormat="1" applyFont="1" applyAlignment="1">
      <alignment vertical="center" wrapText="1"/>
    </xf>
    <xf numFmtId="0" fontId="1" fillId="5" borderId="2" xfId="2" applyFill="1" applyBorder="1">
      <alignment vertical="center"/>
    </xf>
    <xf numFmtId="0" fontId="1" fillId="5" borderId="6" xfId="2" applyFill="1" applyBorder="1">
      <alignment vertical="center"/>
    </xf>
    <xf numFmtId="0" fontId="1" fillId="5" borderId="3" xfId="2" applyFill="1" applyBorder="1">
      <alignment vertical="center"/>
    </xf>
    <xf numFmtId="0" fontId="1" fillId="6" borderId="0" xfId="2" applyFill="1">
      <alignment vertical="center"/>
    </xf>
    <xf numFmtId="0" fontId="1" fillId="5" borderId="4" xfId="2" applyFill="1" applyBorder="1">
      <alignment vertical="center"/>
    </xf>
    <xf numFmtId="0" fontId="17" fillId="5" borderId="0" xfId="2" applyFont="1" applyFill="1" applyAlignment="1">
      <alignment horizontal="right" vertical="center"/>
    </xf>
    <xf numFmtId="0" fontId="1" fillId="5" borderId="0" xfId="2" applyFill="1">
      <alignment vertical="center"/>
    </xf>
    <xf numFmtId="0" fontId="1" fillId="5" borderId="5" xfId="2" applyFill="1" applyBorder="1">
      <alignment vertical="center"/>
    </xf>
    <xf numFmtId="0" fontId="17" fillId="5" borderId="0" xfId="2" applyFont="1" applyFill="1">
      <alignment vertical="center"/>
    </xf>
    <xf numFmtId="0" fontId="18" fillId="7" borderId="7" xfId="2" applyFont="1" applyFill="1" applyBorder="1" applyAlignment="1">
      <alignment horizontal="right" vertical="center"/>
    </xf>
    <xf numFmtId="2" fontId="4" fillId="3" borderId="8" xfId="2" applyNumberFormat="1" applyFont="1" applyFill="1" applyBorder="1">
      <alignment vertical="center"/>
    </xf>
    <xf numFmtId="0" fontId="19" fillId="5" borderId="5" xfId="2" applyFont="1" applyFill="1" applyBorder="1">
      <alignment vertical="center"/>
    </xf>
    <xf numFmtId="0" fontId="18" fillId="0" borderId="1" xfId="2" applyFont="1" applyBorder="1" applyAlignment="1">
      <alignment horizontal="right" vertical="center"/>
    </xf>
    <xf numFmtId="2" fontId="4" fillId="0" borderId="9" xfId="2" applyNumberFormat="1" applyFont="1" applyBorder="1">
      <alignment vertical="center"/>
    </xf>
    <xf numFmtId="0" fontId="4" fillId="5" borderId="5" xfId="2" applyFont="1" applyFill="1" applyBorder="1">
      <alignment vertical="center"/>
    </xf>
    <xf numFmtId="2" fontId="4" fillId="0" borderId="1" xfId="2" applyNumberFormat="1" applyFont="1" applyBorder="1">
      <alignment vertical="center"/>
    </xf>
    <xf numFmtId="0" fontId="1" fillId="5" borderId="10" xfId="2" applyFill="1" applyBorder="1">
      <alignment vertical="center"/>
    </xf>
    <xf numFmtId="0" fontId="1" fillId="5" borderId="11" xfId="2" applyFill="1" applyBorder="1">
      <alignment vertical="center"/>
    </xf>
    <xf numFmtId="0" fontId="1" fillId="5" borderId="12" xfId="2" applyFill="1" applyBorder="1">
      <alignment vertical="center"/>
    </xf>
    <xf numFmtId="14" fontId="7" fillId="0" borderId="0" xfId="0" applyNumberFormat="1" applyFont="1" applyAlignment="1">
      <alignment horizontal="center" vertical="center" wrapText="1"/>
    </xf>
    <xf numFmtId="14" fontId="2" fillId="3" borderId="1" xfId="0" applyNumberFormat="1" applyFont="1" applyFill="1" applyBorder="1" applyAlignment="1">
      <alignment horizontal="center" vertical="center" wrapText="1"/>
    </xf>
    <xf numFmtId="0" fontId="20" fillId="8" borderId="13" xfId="0" applyFont="1" applyFill="1" applyBorder="1" applyAlignment="1">
      <alignment horizontal="center" vertical="center" wrapText="1"/>
    </xf>
    <xf numFmtId="0" fontId="20" fillId="0" borderId="13" xfId="0" applyFont="1" applyBorder="1" applyAlignment="1">
      <alignment horizontal="center" vertical="center" wrapText="1"/>
    </xf>
    <xf numFmtId="49" fontId="20" fillId="0" borderId="13" xfId="0" applyNumberFormat="1" applyFont="1" applyBorder="1" applyAlignment="1">
      <alignment horizontal="center" vertical="center" wrapText="1"/>
    </xf>
    <xf numFmtId="176" fontId="20" fillId="0" borderId="13" xfId="0" applyNumberFormat="1" applyFont="1" applyBorder="1" applyAlignment="1">
      <alignment horizontal="center" vertical="center" wrapText="1"/>
    </xf>
    <xf numFmtId="0" fontId="21" fillId="0" borderId="13" xfId="0" applyFont="1" applyBorder="1" applyAlignment="1">
      <alignment horizontal="center" vertical="center" wrapText="1"/>
    </xf>
    <xf numFmtId="49" fontId="21" fillId="0" borderId="13" xfId="0" applyNumberFormat="1" applyFont="1" applyBorder="1" applyAlignment="1">
      <alignment horizontal="center" vertical="center" wrapText="1"/>
    </xf>
    <xf numFmtId="49" fontId="21" fillId="0" borderId="13" xfId="0" applyNumberFormat="1" applyFont="1" applyBorder="1" applyAlignment="1">
      <alignment horizontal="center" wrapText="1"/>
    </xf>
    <xf numFmtId="0" fontId="21" fillId="0" borderId="13" xfId="0" applyFont="1" applyBorder="1" applyAlignment="1">
      <alignment horizontal="center" wrapText="1"/>
    </xf>
    <xf numFmtId="49" fontId="20" fillId="0" borderId="13" xfId="0" applyNumberFormat="1" applyFont="1" applyBorder="1" applyAlignment="1">
      <alignment horizontal="center" wrapText="1"/>
    </xf>
    <xf numFmtId="0" fontId="20" fillId="0" borderId="13" xfId="0" applyFont="1" applyBorder="1" applyAlignment="1">
      <alignment horizontal="center" wrapText="1"/>
    </xf>
    <xf numFmtId="14" fontId="4" fillId="0" borderId="0" xfId="0" applyNumberFormat="1" applyFont="1">
      <alignment vertical="center"/>
    </xf>
    <xf numFmtId="14" fontId="20" fillId="0" borderId="13" xfId="0" applyNumberFormat="1" applyFont="1" applyBorder="1" applyAlignment="1">
      <alignment horizontal="center" vertical="center" wrapText="1"/>
    </xf>
    <xf numFmtId="0" fontId="22" fillId="8" borderId="13" xfId="0" applyFont="1" applyFill="1" applyBorder="1" applyAlignment="1">
      <alignment horizontal="center" vertical="center" wrapText="1"/>
    </xf>
    <xf numFmtId="49" fontId="22" fillId="0" borderId="13" xfId="0" applyNumberFormat="1" applyFont="1" applyBorder="1" applyAlignment="1">
      <alignment horizontal="center" vertical="center" wrapText="1"/>
    </xf>
    <xf numFmtId="0" fontId="20" fillId="0" borderId="14" xfId="0" applyFont="1" applyBorder="1" applyAlignment="1">
      <alignment horizontal="center" vertical="center" wrapText="1"/>
    </xf>
    <xf numFmtId="0" fontId="20" fillId="0" borderId="16" xfId="0" applyFont="1" applyBorder="1" applyAlignment="1">
      <alignment horizontal="center" vertical="center" wrapText="1"/>
    </xf>
    <xf numFmtId="0" fontId="21" fillId="0" borderId="17" xfId="0" applyFont="1" applyBorder="1" applyAlignment="1">
      <alignment horizontal="center" vertical="center" wrapText="1"/>
    </xf>
    <xf numFmtId="49" fontId="21" fillId="0" borderId="17" xfId="0" applyNumberFormat="1" applyFont="1" applyBorder="1" applyAlignment="1">
      <alignment horizontal="center" vertical="center" wrapText="1"/>
    </xf>
    <xf numFmtId="0" fontId="20" fillId="0" borderId="15" xfId="0" applyFont="1" applyBorder="1" applyAlignment="1">
      <alignment horizontal="center" vertical="center" wrapText="1"/>
    </xf>
    <xf numFmtId="0" fontId="20" fillId="0" borderId="1" xfId="0" applyFont="1" applyBorder="1" applyAlignment="1">
      <alignment horizontal="center" vertical="center" wrapText="1"/>
    </xf>
    <xf numFmtId="49" fontId="2" fillId="3" borderId="18" xfId="0" applyNumberFormat="1" applyFont="1" applyFill="1" applyBorder="1" applyAlignment="1">
      <alignment horizontal="center" vertical="center" wrapText="1"/>
    </xf>
    <xf numFmtId="0" fontId="6" fillId="0" borderId="13" xfId="1" applyBorder="1" applyAlignment="1">
      <alignment horizontal="center" vertical="center" wrapText="1"/>
    </xf>
    <xf numFmtId="0" fontId="6" fillId="0" borderId="13" xfId="1" applyBorder="1" applyAlignment="1">
      <alignment horizontal="center" wrapText="1"/>
    </xf>
    <xf numFmtId="49" fontId="6" fillId="0" borderId="13" xfId="1" applyNumberFormat="1" applyBorder="1" applyAlignment="1">
      <alignment horizontal="center" vertical="center" wrapText="1"/>
    </xf>
    <xf numFmtId="0" fontId="6" fillId="0" borderId="0" xfId="1">
      <alignment vertical="center"/>
    </xf>
    <xf numFmtId="49" fontId="6" fillId="0" borderId="13" xfId="1" applyNumberFormat="1" applyBorder="1" applyAlignment="1">
      <alignment horizontal="center" wrapText="1"/>
    </xf>
    <xf numFmtId="0" fontId="24" fillId="0" borderId="0" xfId="0" applyFont="1">
      <alignment vertical="center"/>
    </xf>
    <xf numFmtId="0" fontId="23" fillId="0" borderId="0" xfId="0" applyFont="1" applyAlignment="1">
      <alignment horizontal="center" vertical="center" wrapText="1"/>
    </xf>
    <xf numFmtId="0" fontId="25" fillId="0" borderId="0" xfId="0" applyFont="1" applyAlignment="1">
      <alignment vertical="center" wrapText="1"/>
    </xf>
    <xf numFmtId="0" fontId="26" fillId="0" borderId="0" xfId="0" applyFont="1">
      <alignment vertical="center"/>
    </xf>
    <xf numFmtId="0" fontId="27" fillId="0" borderId="0" xfId="0" applyFont="1">
      <alignment vertical="center"/>
    </xf>
    <xf numFmtId="0" fontId="28" fillId="0" borderId="0" xfId="0" applyFont="1">
      <alignment vertical="center"/>
    </xf>
    <xf numFmtId="0" fontId="29" fillId="0" borderId="0" xfId="0" applyFont="1">
      <alignment vertical="center"/>
    </xf>
    <xf numFmtId="0" fontId="24" fillId="0" borderId="0" xfId="0" applyFont="1" applyAlignment="1">
      <alignment vertical="center" wrapText="1"/>
    </xf>
    <xf numFmtId="49" fontId="2" fillId="0" borderId="0" xfId="0" applyNumberFormat="1" applyFont="1" applyAlignment="1">
      <alignment horizontal="left" vertical="center" wrapText="1"/>
    </xf>
    <xf numFmtId="0" fontId="24" fillId="0" borderId="0" xfId="0" applyFont="1" applyAlignment="1">
      <alignment horizontal="center" vertical="center"/>
    </xf>
    <xf numFmtId="0" fontId="6" fillId="0" borderId="0" xfId="1" applyAlignment="1">
      <alignment horizontal="center" vertical="center"/>
    </xf>
    <xf numFmtId="0" fontId="4" fillId="0" borderId="0" xfId="0" applyFont="1" applyAlignment="1">
      <alignment horizontal="center" vertical="center"/>
    </xf>
    <xf numFmtId="0" fontId="32" fillId="0" borderId="0" xfId="0" applyFont="1" applyAlignment="1">
      <alignment horizontal="center" vertical="center"/>
    </xf>
    <xf numFmtId="0" fontId="24" fillId="9" borderId="0" xfId="0" applyFont="1" applyFill="1" applyAlignment="1">
      <alignment horizontal="center" vertical="center" wrapText="1"/>
    </xf>
    <xf numFmtId="49" fontId="2" fillId="2" borderId="1" xfId="0" applyNumberFormat="1" applyFont="1" applyFill="1" applyBorder="1" applyAlignment="1">
      <alignment horizontal="center" vertical="center" wrapText="1"/>
    </xf>
    <xf numFmtId="49" fontId="8" fillId="4" borderId="1" xfId="0" applyNumberFormat="1" applyFont="1" applyFill="1" applyBorder="1" applyAlignment="1">
      <alignment horizontal="center" vertical="center" wrapText="1"/>
    </xf>
    <xf numFmtId="49" fontId="10" fillId="4" borderId="1" xfId="0" applyNumberFormat="1" applyFont="1" applyFill="1" applyBorder="1" applyAlignment="1">
      <alignment horizontal="center" vertical="center" wrapText="1"/>
    </xf>
    <xf numFmtId="49" fontId="11" fillId="0" borderId="1" xfId="0" applyNumberFormat="1" applyFont="1" applyBorder="1" applyAlignment="1">
      <alignment horizontal="left" vertical="center" wrapText="1"/>
    </xf>
    <xf numFmtId="0" fontId="14" fillId="4" borderId="2" xfId="1" applyFont="1" applyFill="1" applyBorder="1" applyAlignment="1">
      <alignment horizontal="center" vertical="center"/>
    </xf>
    <xf numFmtId="0" fontId="14" fillId="4" borderId="3" xfId="1" applyFont="1" applyFill="1" applyBorder="1" applyAlignment="1">
      <alignment horizontal="center" vertical="center"/>
    </xf>
    <xf numFmtId="0" fontId="14" fillId="4" borderId="4" xfId="1" applyFont="1" applyFill="1" applyBorder="1" applyAlignment="1">
      <alignment horizontal="center" vertical="center"/>
    </xf>
    <xf numFmtId="0" fontId="14" fillId="4" borderId="5" xfId="1" applyFont="1" applyFill="1" applyBorder="1" applyAlignment="1">
      <alignment horizontal="center" vertical="center"/>
    </xf>
    <xf numFmtId="49" fontId="15" fillId="0" borderId="0" xfId="0" applyNumberFormat="1" applyFont="1" applyAlignment="1">
      <alignment horizontal="left" vertical="center" wrapText="1"/>
    </xf>
    <xf numFmtId="49" fontId="20" fillId="0" borderId="1" xfId="0" applyNumberFormat="1" applyFont="1" applyBorder="1" applyAlignment="1">
      <alignment horizontal="center" vertical="center" wrapText="1"/>
    </xf>
    <xf numFmtId="14" fontId="2" fillId="2" borderId="1" xfId="0" applyNumberFormat="1" applyFont="1" applyFill="1" applyBorder="1" applyAlignment="1">
      <alignment horizontal="center" vertical="center" wrapText="1"/>
    </xf>
    <xf numFmtId="49" fontId="6" fillId="0" borderId="0" xfId="1" applyNumberFormat="1" applyAlignment="1">
      <alignment horizontal="center" vertical="center" wrapText="1"/>
    </xf>
  </cellXfs>
  <cellStyles count="3">
    <cellStyle name="표준" xfId="0" builtinId="0"/>
    <cellStyle name="표준 2" xfId="2" xr:uid="{00000000-0005-0000-0000-000001000000}"/>
    <cellStyle name="하이퍼링크" xfId="1" builtinId="8"/>
  </cellStyles>
  <dxfs count="5">
    <dxf>
      <font>
        <color rgb="FF9C0006"/>
      </font>
      <fill>
        <patternFill>
          <bgColor rgb="FFFFC7CE"/>
        </patternFill>
      </fill>
    </dxf>
    <dxf>
      <fill>
        <patternFill patternType="solid">
          <fgColor rgb="FFF08CA1"/>
          <bgColor rgb="FFF08CA1"/>
        </patternFill>
      </fill>
    </dxf>
    <dxf>
      <fill>
        <patternFill patternType="solid">
          <fgColor rgb="FFF7B3C6"/>
          <bgColor rgb="FFF7B3C6"/>
        </patternFill>
      </fill>
    </dxf>
    <dxf>
      <fill>
        <patternFill patternType="solid">
          <fgColor rgb="FFF7B3C6"/>
          <bgColor rgb="FFF7B3C6"/>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3.xml"/><Relationship Id="rId5" Type="http://schemas.openxmlformats.org/officeDocument/2006/relationships/externalLink" Target="externalLinks/externalLink2.xml"/><Relationship Id="rId10" Type="http://schemas.openxmlformats.org/officeDocument/2006/relationships/calcChain" Target="calcChain.xml"/><Relationship Id="rId4" Type="http://schemas.openxmlformats.org/officeDocument/2006/relationships/externalLink" Target="externalLinks/externalLink1.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19050</xdr:colOff>
      <xdr:row>0</xdr:row>
      <xdr:rowOff>38099</xdr:rowOff>
    </xdr:from>
    <xdr:to>
      <xdr:col>1</xdr:col>
      <xdr:colOff>1543050</xdr:colOff>
      <xdr:row>2</xdr:row>
      <xdr:rowOff>1762124</xdr:rowOff>
    </xdr:to>
    <xdr:sp macro="" textlink="">
      <xdr:nvSpPr>
        <xdr:cNvPr id="2" name="직사각형 1">
          <a:extLst>
            <a:ext uri="{FF2B5EF4-FFF2-40B4-BE49-F238E27FC236}">
              <a16:creationId xmlns:a16="http://schemas.microsoft.com/office/drawing/2014/main" id="{00000000-0008-0000-0000-000002000000}"/>
            </a:ext>
          </a:extLst>
        </xdr:cNvPr>
        <xdr:cNvSpPr/>
      </xdr:nvSpPr>
      <xdr:spPr>
        <a:xfrm>
          <a:off x="19050" y="38099"/>
          <a:ext cx="1952625" cy="233362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editAs="oneCell">
    <xdr:from>
      <xdr:col>0</xdr:col>
      <xdr:colOff>19050</xdr:colOff>
      <xdr:row>0</xdr:row>
      <xdr:rowOff>0</xdr:rowOff>
    </xdr:from>
    <xdr:to>
      <xdr:col>1</xdr:col>
      <xdr:colOff>1666875</xdr:colOff>
      <xdr:row>8</xdr:row>
      <xdr:rowOff>459441</xdr:rowOff>
    </xdr:to>
    <xdr:pic>
      <xdr:nvPicPr>
        <xdr:cNvPr id="3" name="그림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 y="0"/>
          <a:ext cx="2333625" cy="24765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19050</xdr:colOff>
      <xdr:row>0</xdr:row>
      <xdr:rowOff>38099</xdr:rowOff>
    </xdr:from>
    <xdr:to>
      <xdr:col>1</xdr:col>
      <xdr:colOff>1543050</xdr:colOff>
      <xdr:row>3</xdr:row>
      <xdr:rowOff>0</xdr:rowOff>
    </xdr:to>
    <xdr:sp macro="" textlink="">
      <xdr:nvSpPr>
        <xdr:cNvPr id="2" name="직사각형 1">
          <a:extLst>
            <a:ext uri="{FF2B5EF4-FFF2-40B4-BE49-F238E27FC236}">
              <a16:creationId xmlns:a16="http://schemas.microsoft.com/office/drawing/2014/main" id="{00000000-0008-0000-0100-000002000000}"/>
            </a:ext>
          </a:extLst>
        </xdr:cNvPr>
        <xdr:cNvSpPr/>
      </xdr:nvSpPr>
      <xdr:spPr>
        <a:xfrm>
          <a:off x="19050" y="38099"/>
          <a:ext cx="1952625" cy="2476501"/>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editAs="oneCell">
    <xdr:from>
      <xdr:col>0</xdr:col>
      <xdr:colOff>19050</xdr:colOff>
      <xdr:row>0</xdr:row>
      <xdr:rowOff>1</xdr:rowOff>
    </xdr:from>
    <xdr:to>
      <xdr:col>1</xdr:col>
      <xdr:colOff>1666875</xdr:colOff>
      <xdr:row>2</xdr:row>
      <xdr:rowOff>1866901</xdr:rowOff>
    </xdr:to>
    <xdr:pic>
      <xdr:nvPicPr>
        <xdr:cNvPr id="4" name="그림 3">
          <a:extLst>
            <a:ext uri="{FF2B5EF4-FFF2-40B4-BE49-F238E27FC236}">
              <a16:creationId xmlns:a16="http://schemas.microsoft.com/office/drawing/2014/main" id="{604E278C-46B8-4611-8DD9-F4B8E932F27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 y="1"/>
          <a:ext cx="2335742" cy="248073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99_WinData\Desktop\&#50629;&#47924;\&#54028;&#44204;&#44368;&#54872;&#54617;&#49373;\2017-2\2017-2018%20&#54028;&#44204;&#44368;&#54872;%20TO%20&#51312;&#49324;%20(2017-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Makebot.AI\01._&#44592;&#54925;\00._Makebot_B2B\&#48512;&#49328;&#50808;&#44397;&#50612;&#45824;&#54617;&#44368;\_03._FAQ\Reference\&#54617;&#49696;&#51221;&#48372;&#50896;%20FAQ_&#51221;&#47532;.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Z:\Makebot.AI\01._&#44592;&#54925;\00._Makebot_B2B\&#48512;&#49328;&#50808;&#44397;&#50612;&#45824;&#54617;&#44368;\_03._FAQ\Reference\&#54617;&#49696;&#51221;&#48372;&#50896;%20FAQ_&#51221;&#4753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영어권"/>
      <sheetName val="유럽권"/>
      <sheetName val="기타아시아권"/>
      <sheetName val="남미권"/>
      <sheetName val="중국어권"/>
      <sheetName val="일본어권"/>
    </sheetNames>
    <sheetDataSet>
      <sheetData sheetId="0"/>
      <sheetData sheetId="1"/>
      <sheetData sheetId="2"/>
      <sheetData sheetId="3"/>
      <sheetData sheetId="4"/>
      <sheetData sheetId="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Q카테고리정리"/>
      <sheetName val="FAQ"/>
      <sheetName val="참조"/>
    </sheetNames>
    <sheetDataSet>
      <sheetData sheetId="0"/>
      <sheetData sheetId="1"/>
      <sheetData sheetId="2">
        <row r="1">
          <cell r="A1" t="str">
            <v>도서관출입ID카드</v>
          </cell>
          <cell r="B1" t="str">
            <v>도서관시설환경정책</v>
          </cell>
          <cell r="C1" t="str">
            <v>도서대출반납</v>
          </cell>
          <cell r="D1" t="str">
            <v>자료구입구독</v>
          </cell>
          <cell r="E1" t="str">
            <v>상호대차원문복사</v>
          </cell>
          <cell r="F1" t="str">
            <v>홈페이지전자자료이용</v>
          </cell>
          <cell r="G1" t="str">
            <v>소장자료이용</v>
          </cell>
          <cell r="H1" t="str">
            <v>학위논문</v>
          </cell>
          <cell r="I1" t="str">
            <v>학술정보문의</v>
          </cell>
          <cell r="J1" t="str">
            <v>법학도서관</v>
          </cell>
          <cell r="K1" t="str">
            <v>음악도서관</v>
          </cell>
          <cell r="L1" t="str">
            <v>기타</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Q카테고리정리"/>
      <sheetName val="FAQ"/>
      <sheetName val="참조"/>
    </sheetNames>
    <sheetDataSet>
      <sheetData sheetId="0"/>
      <sheetData sheetId="1"/>
      <sheetData sheetId="2"/>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www.hnu.de/en/international/international-exchange-students/courses-taught-in-english" TargetMode="External"/><Relationship Id="rId18" Type="http://schemas.openxmlformats.org/officeDocument/2006/relationships/hyperlink" Target="https://vilniustech.lt/for-international-students/for-exchange-students/studies/319312?" TargetMode="External"/><Relationship Id="rId26" Type="http://schemas.openxmlformats.org/officeDocument/2006/relationships/hyperlink" Target="https://en.ism.de/exchange-students/international-business-certificate" TargetMode="External"/><Relationship Id="rId39" Type="http://schemas.openxmlformats.org/officeDocument/2006/relationships/hyperlink" Target="https://www.univ-paris8.fr/-Programmes-d-echanges-informations-generales-778-" TargetMode="External"/><Relationship Id="rId21" Type="http://schemas.openxmlformats.org/officeDocument/2006/relationships/hyperlink" Target="https://ww1.oswego.edu/international/english-proficiency-requirements" TargetMode="External"/><Relationship Id="rId34" Type="http://schemas.openxmlformats.org/officeDocument/2006/relationships/hyperlink" Target="https://drive.google.com/file/d/1rZw8UtAI-Ph5TOUiOPe9LFCWdftWqqYi/view?usp=drive_link" TargetMode="External"/><Relationship Id="rId42" Type="http://schemas.openxmlformats.org/officeDocument/2006/relationships/hyperlink" Target="https://www.hanken.fi/en/students/international-opportunities/incoming-exchange-students" TargetMode="External"/><Relationship Id="rId47" Type="http://schemas.openxmlformats.org/officeDocument/2006/relationships/hyperlink" Target="https://www.upv.es/entidades/OPII/infoweb/pi/info/818854normali.html" TargetMode="External"/><Relationship Id="rId50" Type="http://schemas.openxmlformats.org/officeDocument/2006/relationships/hyperlink" Target="https://www.uma.es/relaciones-internacionales/cms/menu/erasmus/incoming-students/" TargetMode="External"/><Relationship Id="rId55" Type="http://schemas.openxmlformats.org/officeDocument/2006/relationships/hyperlink" Target="mailto:global.ub@ub.edu" TargetMode="External"/><Relationship Id="rId63" Type="http://schemas.openxmlformats.org/officeDocument/2006/relationships/printerSettings" Target="../printerSettings/printerSettings1.bin"/><Relationship Id="rId7" Type="http://schemas.openxmlformats.org/officeDocument/2006/relationships/hyperlink" Target="https://www.europa-uni.de/de/internationalitaet/_dokumente/incoming/factsheet-viadrina-25-26.pdf" TargetMode="External"/><Relationship Id="rId2" Type="http://schemas.openxmlformats.org/officeDocument/2006/relationships/hyperlink" Target="http://www.hanze.nl/applicationexchange" TargetMode="External"/><Relationship Id="rId16" Type="http://schemas.openxmlformats.org/officeDocument/2006/relationships/hyperlink" Target="https://www.uni.lu/en/mobility/incoming-exchange-students/how-do-you-apply/" TargetMode="External"/><Relationship Id="rId29" Type="http://schemas.openxmlformats.org/officeDocument/2006/relationships/hyperlink" Target="https://www.devinci.fr/en/international/welcome-desk/" TargetMode="External"/><Relationship Id="rId11" Type="http://schemas.openxmlformats.org/officeDocument/2006/relationships/hyperlink" Target="http://www.hs-esslingen.de/incoming" TargetMode="External"/><Relationship Id="rId24" Type="http://schemas.openxmlformats.org/officeDocument/2006/relationships/hyperlink" Target="https://feb.kuleuven.be/eng/international/coming-to-feb-ku-leuven/informationforincomingstudents" TargetMode="External"/><Relationship Id="rId32" Type="http://schemas.openxmlformats.org/officeDocument/2006/relationships/hyperlink" Target="mailto:exchange@rennes-sb.com" TargetMode="External"/><Relationship Id="rId37" Type="http://schemas.openxmlformats.org/officeDocument/2006/relationships/hyperlink" Target="https://www.iscparis.com/en/incoming-students/" TargetMode="External"/><Relationship Id="rId40" Type="http://schemas.openxmlformats.org/officeDocument/2006/relationships/hyperlink" Target="https://www.centralesupelec.fr/en/programmes/ingenieur-generaliste" TargetMode="External"/><Relationship Id="rId45" Type="http://schemas.openxmlformats.org/officeDocument/2006/relationships/hyperlink" Target="https://www.uc3m.es/studies/international-exchange-students-in-UC3M-/bachelor-degrees" TargetMode="External"/><Relationship Id="rId53" Type="http://schemas.openxmlformats.org/officeDocument/2006/relationships/hyperlink" Target="https://www.udl.cat/ca/serveis/ori/estudiantat_estranger/eng/mobility/" TargetMode="External"/><Relationship Id="rId58" Type="http://schemas.openxmlformats.org/officeDocument/2006/relationships/hyperlink" Target="mailto:felicia.fernelius@sh.se" TargetMode="External"/><Relationship Id="rId5" Type="http://schemas.openxmlformats.org/officeDocument/2006/relationships/hyperlink" Target="https://uni-tuebingen.de/en/international/study-in-tuebingen/erasmus-and-exchange-to-tuebingen/" TargetMode="External"/><Relationship Id="rId61" Type="http://schemas.openxmlformats.org/officeDocument/2006/relationships/hyperlink" Target="mailto:infocenter@umu.se" TargetMode="External"/><Relationship Id="rId19" Type="http://schemas.openxmlformats.org/officeDocument/2006/relationships/hyperlink" Target="https://www.letu.edu/academics/all-academics.html" TargetMode="External"/><Relationship Id="rId14" Type="http://schemas.openxmlformats.org/officeDocument/2006/relationships/hyperlink" Target="https://www.hs-worms.de/international/incoming-students/exchange-students/course-offer-in-english" TargetMode="External"/><Relationship Id="rId22" Type="http://schemas.openxmlformats.org/officeDocument/2006/relationships/hyperlink" Target="https://ww1.oswego.edu/international/exchange-students" TargetMode="External"/><Relationship Id="rId27" Type="http://schemas.openxmlformats.org/officeDocument/2006/relationships/hyperlink" Target="https://www.utc.fr/en/international-relations/international-mobility/incoming-mobility/" TargetMode="External"/><Relationship Id="rId30" Type="http://schemas.openxmlformats.org/officeDocument/2006/relationships/hyperlink" Target="mailto:incoming@devinci.fr" TargetMode="External"/><Relationship Id="rId35" Type="http://schemas.openxmlformats.org/officeDocument/2006/relationships/hyperlink" Target="https://en.em-normandie.com/em-normandie-experience/open-world-studying-abroad/exchange-programmes" TargetMode="External"/><Relationship Id="rId43" Type="http://schemas.openxmlformats.org/officeDocument/2006/relationships/hyperlink" Target="https://www.haaga-helia.fi/en/exchange-studies-haaga-helia" TargetMode="External"/><Relationship Id="rId48" Type="http://schemas.openxmlformats.org/officeDocument/2006/relationships/hyperlink" Target="mailto:opii@upv.es" TargetMode="External"/><Relationship Id="rId56" Type="http://schemas.openxmlformats.org/officeDocument/2006/relationships/hyperlink" Target="https://www.sh.se/english/sodertorn-university/programmes--courses" TargetMode="External"/><Relationship Id="rId64" Type="http://schemas.openxmlformats.org/officeDocument/2006/relationships/drawing" Target="../drawings/drawing1.xml"/><Relationship Id="rId8" Type="http://schemas.openxmlformats.org/officeDocument/2006/relationships/hyperlink" Target="https://en.ism.de/exchange-students/international-business-certificate" TargetMode="External"/><Relationship Id="rId51" Type="http://schemas.openxmlformats.org/officeDocument/2006/relationships/hyperlink" Target="https://www.comillas.edu/en/international-relations-service/" TargetMode="External"/><Relationship Id="rId3" Type="http://schemas.openxmlformats.org/officeDocument/2006/relationships/hyperlink" Target="http://www.hanze.nl/factsheetexchange" TargetMode="External"/><Relationship Id="rId12" Type="http://schemas.openxmlformats.org/officeDocument/2006/relationships/hyperlink" Target="http://www.hs-esslingen.de/etc" TargetMode="External"/><Relationship Id="rId17" Type="http://schemas.openxmlformats.org/officeDocument/2006/relationships/hyperlink" Target="https://admissions.ktu.edu/exchange-students/" TargetMode="External"/><Relationship Id="rId25" Type="http://schemas.openxmlformats.org/officeDocument/2006/relationships/hyperlink" Target="https://www.vub.be/en/internationalisation-vub/international-relations-what-we-do-how-you-can-reach-us/exchange-erasmus-projects/come-vub-exchange" TargetMode="External"/><Relationship Id="rId33" Type="http://schemas.openxmlformats.org/officeDocument/2006/relationships/hyperlink" Target="https://student.kedge.edu/exchange-students" TargetMode="External"/><Relationship Id="rId38" Type="http://schemas.openxmlformats.org/officeDocument/2006/relationships/hyperlink" Target="https://international-welcome.unistra.fr/" TargetMode="External"/><Relationship Id="rId46" Type="http://schemas.openxmlformats.org/officeDocument/2006/relationships/hyperlink" Target="mailto:mne@uc3m.es" TargetMode="External"/><Relationship Id="rId59" Type="http://schemas.openxmlformats.org/officeDocument/2006/relationships/hyperlink" Target="https://liu.se/en/article/application-procedure-faculty-of-arts-and-sciences?faculty=1" TargetMode="External"/><Relationship Id="rId20" Type="http://schemas.openxmlformats.org/officeDocument/2006/relationships/hyperlink" Target="https://www.letu.edu/global-initiatives/exchange-process.html" TargetMode="External"/><Relationship Id="rId41" Type="http://schemas.openxmlformats.org/officeDocument/2006/relationships/hyperlink" Target="https://sway.cloud.microsoft/pw0vfIJzSxUAjaxp?ref=Link" TargetMode="External"/><Relationship Id="rId54" Type="http://schemas.openxmlformats.org/officeDocument/2006/relationships/hyperlink" Target="https://www.ub.edu/mobilitat-internacional/en/incoming-students" TargetMode="External"/><Relationship Id="rId62" Type="http://schemas.openxmlformats.org/officeDocument/2006/relationships/hyperlink" Target="https://liu.se/en/article/exchange-courses?faculty=3" TargetMode="External"/><Relationship Id="rId1" Type="http://schemas.openxmlformats.org/officeDocument/2006/relationships/hyperlink" Target="https://globale3.studioabroad.com/" TargetMode="External"/><Relationship Id="rId6" Type="http://schemas.openxmlformats.org/officeDocument/2006/relationships/hyperlink" Target="https://bayreuth.adv-pub.moveon4.de/home-page-2051/" TargetMode="External"/><Relationship Id="rId15" Type="http://schemas.openxmlformats.org/officeDocument/2006/relationships/hyperlink" Target="https://www.uni.lu/en/mobility/incoming-exchange-students/how-do-you-apply/" TargetMode="External"/><Relationship Id="rId23" Type="http://schemas.openxmlformats.org/officeDocument/2006/relationships/hyperlink" Target="https://www.uco.edu/students/oga/future-students/" TargetMode="External"/><Relationship Id="rId28" Type="http://schemas.openxmlformats.org/officeDocument/2006/relationships/hyperlink" Target="https://www.utc.fr/en/international-relations/international-mobility/incoming-mobility/" TargetMode="External"/><Relationship Id="rId36" Type="http://schemas.openxmlformats.org/officeDocument/2006/relationships/hyperlink" Target="https://en.em-normandie.com/em-normandie-experience/open-world-studying-abroad/exchange-programmes" TargetMode="External"/><Relationship Id="rId49" Type="http://schemas.openxmlformats.org/officeDocument/2006/relationships/hyperlink" Target="https://servicios.urjc.es/cui/" TargetMode="External"/><Relationship Id="rId57" Type="http://schemas.openxmlformats.org/officeDocument/2006/relationships/hyperlink" Target="https://www.sh.se/exchange" TargetMode="External"/><Relationship Id="rId10" Type="http://schemas.openxmlformats.org/officeDocument/2006/relationships/hyperlink" Target="https://www.uni-bamberg.de/en/studies/exchange-students-eg-erasmus/what-can-i-study/" TargetMode="External"/><Relationship Id="rId31" Type="http://schemas.openxmlformats.org/officeDocument/2006/relationships/hyperlink" Target="https://aloha.rennes-sb.com/hc/en-us/categories/360002608799--Incoming-Exchange-Students" TargetMode="External"/><Relationship Id="rId44" Type="http://schemas.openxmlformats.org/officeDocument/2006/relationships/hyperlink" Target="mailto:exch@haaga-helia.fi" TargetMode="External"/><Relationship Id="rId52" Type="http://schemas.openxmlformats.org/officeDocument/2006/relationships/hyperlink" Target="mailto:cgonzalez@comillas.edu" TargetMode="External"/><Relationship Id="rId60" Type="http://schemas.openxmlformats.org/officeDocument/2006/relationships/hyperlink" Target="https://www.umu.se/en/education/studies/exchange-studies/" TargetMode="External"/><Relationship Id="rId4" Type="http://schemas.openxmlformats.org/officeDocument/2006/relationships/hyperlink" Target="https://drive.google.com/file/d/18gpr59Z_eX10Gnrv1GZdEeNDNnybYsii/view?usp=sharing" TargetMode="External"/><Relationship Id="rId9" Type="http://schemas.openxmlformats.org/officeDocument/2006/relationships/hyperlink" Target="http://www.ia.uni-stuttgart.de/internat/bewerber/program/Overseas/index.en.html"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O98"/>
  <sheetViews>
    <sheetView tabSelected="1" topLeftCell="E51" zoomScale="40" zoomScaleNormal="40" workbookViewId="0">
      <selection activeCell="AJ52" sqref="AJ52"/>
    </sheetView>
  </sheetViews>
  <sheetFormatPr defaultColWidth="9" defaultRowHeight="13.2"/>
  <cols>
    <col min="1" max="1" width="9" style="8"/>
    <col min="2" max="2" width="25.59765625" style="7" customWidth="1"/>
    <col min="3" max="5" width="9" style="8"/>
    <col min="6" max="6" width="9.09765625" style="8" bestFit="1" customWidth="1"/>
    <col min="7" max="12" width="9" style="8" customWidth="1"/>
    <col min="13" max="16" width="9.09765625" style="8" customWidth="1"/>
    <col min="17" max="17" width="9" style="8" customWidth="1"/>
    <col min="18" max="18" width="19.59765625" style="8" customWidth="1"/>
    <col min="19" max="19" width="19.796875" style="8" customWidth="1"/>
    <col min="20" max="20" width="21.09765625" style="8" customWidth="1"/>
    <col min="21" max="21" width="9" style="8" customWidth="1"/>
    <col min="22" max="23" width="9.09765625" style="8" customWidth="1"/>
    <col min="24" max="27" width="9" style="8" customWidth="1"/>
    <col min="28" max="29" width="9.69921875" style="8" customWidth="1"/>
    <col min="30" max="30" width="9" style="8" customWidth="1"/>
    <col min="31" max="32" width="9.69921875" style="8" customWidth="1"/>
    <col min="33" max="33" width="12.09765625" style="8" customWidth="1"/>
    <col min="34" max="34" width="14.5" style="8" customWidth="1"/>
    <col min="35" max="35" width="16.796875" style="8" customWidth="1"/>
    <col min="36" max="36" width="26" style="8" customWidth="1"/>
    <col min="37" max="37" width="11.59765625" style="70" customWidth="1"/>
    <col min="38" max="38" width="15.796875" style="8" customWidth="1"/>
    <col min="39" max="39" width="62.09765625" style="8" customWidth="1"/>
    <col min="40" max="40" width="13.09765625" style="8" customWidth="1"/>
    <col min="41" max="16384" width="9" style="8"/>
  </cols>
  <sheetData>
    <row r="1" spans="1:41" s="10" customFormat="1" ht="17.399999999999999">
      <c r="A1"/>
      <c r="B1"/>
      <c r="C1"/>
      <c r="D1"/>
      <c r="E1"/>
      <c r="F1" s="9"/>
      <c r="G1" s="9"/>
      <c r="H1" s="9"/>
      <c r="I1"/>
      <c r="J1"/>
      <c r="K1"/>
    </row>
    <row r="2" spans="1:41" s="10" customFormat="1" ht="17.399999999999999">
      <c r="A2"/>
      <c r="B2"/>
      <c r="C2"/>
      <c r="D2" s="74" t="s">
        <v>36</v>
      </c>
      <c r="E2" s="74"/>
      <c r="F2" s="74"/>
      <c r="G2" s="74"/>
      <c r="H2" s="74"/>
      <c r="I2" s="75"/>
      <c r="J2" s="74"/>
      <c r="K2" s="74"/>
      <c r="L2" s="74"/>
      <c r="M2" s="74"/>
      <c r="N2" s="74"/>
      <c r="O2" s="74"/>
      <c r="P2" s="74"/>
      <c r="Q2" s="74"/>
      <c r="R2" s="74"/>
      <c r="S2" s="74"/>
      <c r="T2" s="74"/>
      <c r="U2" s="74"/>
    </row>
    <row r="3" spans="1:41" s="10" customFormat="1" ht="17.399999999999999">
      <c r="A3"/>
      <c r="B3"/>
      <c r="C3"/>
      <c r="D3" s="76" t="s">
        <v>349</v>
      </c>
      <c r="E3" s="76"/>
      <c r="F3" s="76"/>
      <c r="G3" s="76"/>
      <c r="H3" s="76"/>
      <c r="I3" s="76"/>
      <c r="J3" s="76"/>
      <c r="K3" s="76"/>
      <c r="L3" s="76"/>
      <c r="M3" s="76"/>
      <c r="N3" s="76"/>
      <c r="O3" s="76"/>
      <c r="P3" s="76"/>
      <c r="Q3" s="76"/>
      <c r="R3" s="76"/>
      <c r="S3" s="76"/>
      <c r="T3" s="76"/>
      <c r="U3" s="76"/>
    </row>
    <row r="4" spans="1:41" s="10" customFormat="1" ht="18" thickBot="1">
      <c r="A4"/>
      <c r="B4"/>
      <c r="C4"/>
      <c r="D4"/>
      <c r="E4" s="11"/>
      <c r="F4" s="11"/>
      <c r="G4" s="11"/>
      <c r="H4" s="9"/>
      <c r="I4"/>
      <c r="J4"/>
      <c r="K4"/>
    </row>
    <row r="5" spans="1:41" s="10" customFormat="1" ht="17.399999999999999">
      <c r="A5" s="77" t="s">
        <v>37</v>
      </c>
      <c r="B5" s="78"/>
      <c r="C5"/>
      <c r="D5" s="81" t="s">
        <v>38</v>
      </c>
      <c r="E5" s="81"/>
      <c r="F5" s="81"/>
      <c r="G5" s="81"/>
      <c r="H5" s="81"/>
      <c r="I5" s="81"/>
      <c r="J5" s="81"/>
      <c r="K5" s="81"/>
      <c r="L5" s="81"/>
      <c r="M5" s="81"/>
      <c r="N5" s="81"/>
      <c r="O5" s="81"/>
      <c r="P5" s="81"/>
      <c r="Q5" s="81"/>
      <c r="R5" s="81"/>
      <c r="S5" s="81"/>
      <c r="T5" s="81"/>
      <c r="U5" s="81"/>
    </row>
    <row r="6" spans="1:41" s="10" customFormat="1" ht="17.399999999999999">
      <c r="A6" s="79"/>
      <c r="B6" s="80"/>
      <c r="C6"/>
      <c r="D6" s="81" t="s">
        <v>232</v>
      </c>
      <c r="E6" s="81"/>
      <c r="F6" s="81"/>
      <c r="G6" s="81"/>
      <c r="H6" s="81"/>
      <c r="I6" s="81"/>
      <c r="J6" s="81"/>
      <c r="K6" s="81"/>
      <c r="L6" s="81"/>
      <c r="M6" s="81"/>
      <c r="N6" s="81"/>
      <c r="O6" s="81"/>
      <c r="P6" s="81"/>
      <c r="Q6" s="81"/>
      <c r="R6" s="81"/>
      <c r="S6" s="81"/>
      <c r="T6" s="81"/>
      <c r="U6" s="81"/>
    </row>
    <row r="7" spans="1:41" s="2" customFormat="1" ht="26.4">
      <c r="A7" s="73" t="s">
        <v>0</v>
      </c>
      <c r="B7" s="73" t="s">
        <v>1</v>
      </c>
      <c r="C7" s="73" t="s">
        <v>2</v>
      </c>
      <c r="D7" s="73" t="s">
        <v>3</v>
      </c>
      <c r="E7" s="73" t="s">
        <v>4</v>
      </c>
      <c r="F7" s="1" t="s">
        <v>432</v>
      </c>
      <c r="G7" s="73" t="s">
        <v>5</v>
      </c>
      <c r="H7" s="73" t="s">
        <v>6</v>
      </c>
      <c r="I7" s="73" t="s">
        <v>7</v>
      </c>
      <c r="J7" s="73" t="s">
        <v>8</v>
      </c>
      <c r="K7" s="73"/>
      <c r="L7" s="73"/>
      <c r="M7" s="73"/>
      <c r="N7" s="73"/>
      <c r="O7" s="73"/>
      <c r="P7" s="73"/>
      <c r="Q7" s="73"/>
      <c r="R7" s="73"/>
      <c r="S7" s="73"/>
      <c r="T7" s="73"/>
      <c r="U7" s="73" t="s">
        <v>9</v>
      </c>
      <c r="V7" s="73"/>
      <c r="W7" s="73"/>
      <c r="X7" s="73"/>
      <c r="Y7" s="73"/>
      <c r="Z7" s="73" t="s">
        <v>10</v>
      </c>
      <c r="AA7" s="73"/>
      <c r="AB7" s="73" t="s">
        <v>433</v>
      </c>
      <c r="AC7" s="73"/>
      <c r="AD7" s="73"/>
      <c r="AE7" s="73"/>
      <c r="AF7" s="73"/>
    </row>
    <row r="8" spans="1:41" s="2" customFormat="1" ht="26.4">
      <c r="A8" s="73"/>
      <c r="B8" s="73"/>
      <c r="C8" s="73"/>
      <c r="D8" s="73"/>
      <c r="E8" s="73"/>
      <c r="F8" s="3" t="s">
        <v>12</v>
      </c>
      <c r="G8" s="73"/>
      <c r="H8" s="73"/>
      <c r="I8" s="73"/>
      <c r="J8" s="3" t="s">
        <v>13</v>
      </c>
      <c r="K8" s="3" t="s">
        <v>14</v>
      </c>
      <c r="L8" s="3" t="s">
        <v>15</v>
      </c>
      <c r="M8" s="3" t="s">
        <v>16</v>
      </c>
      <c r="N8" s="3" t="s">
        <v>17</v>
      </c>
      <c r="O8" s="3" t="s">
        <v>18</v>
      </c>
      <c r="P8" s="3" t="s">
        <v>19</v>
      </c>
      <c r="Q8" s="3" t="s">
        <v>20</v>
      </c>
      <c r="R8" s="3" t="s">
        <v>527</v>
      </c>
      <c r="S8" s="3" t="s">
        <v>21</v>
      </c>
      <c r="T8" s="3" t="s">
        <v>22</v>
      </c>
      <c r="U8" s="3" t="s">
        <v>23</v>
      </c>
      <c r="V8" s="3" t="s">
        <v>25</v>
      </c>
      <c r="W8" s="3" t="s">
        <v>26</v>
      </c>
      <c r="X8" s="3" t="s">
        <v>27</v>
      </c>
      <c r="Y8" s="3" t="s">
        <v>28</v>
      </c>
      <c r="Z8" s="3" t="s">
        <v>29</v>
      </c>
      <c r="AA8" s="3" t="s">
        <v>30</v>
      </c>
      <c r="AB8" s="3" t="s">
        <v>31</v>
      </c>
      <c r="AC8" s="3" t="s">
        <v>32</v>
      </c>
      <c r="AD8" s="3" t="s">
        <v>33</v>
      </c>
      <c r="AE8" s="3" t="s">
        <v>34</v>
      </c>
      <c r="AF8" s="53" t="s">
        <v>35</v>
      </c>
      <c r="AG8" s="60" t="s">
        <v>1165</v>
      </c>
      <c r="AH8" s="60" t="s">
        <v>1166</v>
      </c>
      <c r="AI8" s="60" t="s">
        <v>1167</v>
      </c>
      <c r="AJ8" s="2" t="s">
        <v>1205</v>
      </c>
      <c r="AK8" s="2" t="s">
        <v>1188</v>
      </c>
      <c r="AL8" s="60" t="s">
        <v>1168</v>
      </c>
      <c r="AM8" s="2" t="s">
        <v>1258</v>
      </c>
      <c r="AN8" s="2" t="s">
        <v>1256</v>
      </c>
      <c r="AO8" s="2" t="s">
        <v>1257</v>
      </c>
    </row>
    <row r="9" spans="1:41" s="5" customFormat="1" ht="39.6">
      <c r="A9" s="4" t="s">
        <v>233</v>
      </c>
      <c r="B9" s="33" t="s">
        <v>379</v>
      </c>
      <c r="C9" s="35" t="s">
        <v>237</v>
      </c>
      <c r="D9" s="34" t="s">
        <v>237</v>
      </c>
      <c r="E9" s="34" t="s">
        <v>47</v>
      </c>
      <c r="F9" s="34">
        <v>2</v>
      </c>
      <c r="G9" s="37" t="s">
        <v>242</v>
      </c>
      <c r="H9" s="35" t="s">
        <v>402</v>
      </c>
      <c r="I9" s="35" t="s">
        <v>234</v>
      </c>
      <c r="J9" s="34" t="s">
        <v>177</v>
      </c>
      <c r="K9" s="35" t="s">
        <v>178</v>
      </c>
      <c r="L9" s="34" t="s">
        <v>177</v>
      </c>
      <c r="M9" s="34" t="s">
        <v>255</v>
      </c>
      <c r="N9" s="34" t="s">
        <v>255</v>
      </c>
      <c r="O9" s="34" t="s">
        <v>255</v>
      </c>
      <c r="P9" s="34" t="s">
        <v>255</v>
      </c>
      <c r="Q9" s="34" t="s">
        <v>234</v>
      </c>
      <c r="R9" s="34" t="s">
        <v>255</v>
      </c>
      <c r="S9" s="34" t="s">
        <v>255</v>
      </c>
      <c r="T9" s="54" t="s">
        <v>1169</v>
      </c>
      <c r="U9" s="34" t="s">
        <v>255</v>
      </c>
      <c r="V9" s="34" t="s">
        <v>255</v>
      </c>
      <c r="W9" s="34" t="s">
        <v>255</v>
      </c>
      <c r="X9" s="34"/>
      <c r="Y9" s="37" t="s">
        <v>255</v>
      </c>
      <c r="Z9" s="34" t="s">
        <v>177</v>
      </c>
      <c r="AA9" s="34" t="s">
        <v>177</v>
      </c>
      <c r="AB9" s="36">
        <v>46266</v>
      </c>
      <c r="AC9" s="36">
        <v>46374</v>
      </c>
      <c r="AD9" s="34" t="s">
        <v>264</v>
      </c>
      <c r="AE9" s="36">
        <v>46083</v>
      </c>
      <c r="AF9" s="36">
        <v>46083</v>
      </c>
      <c r="AH9" s="5" t="s">
        <v>1172</v>
      </c>
    </row>
    <row r="10" spans="1:41" s="5" customFormat="1" ht="92.4">
      <c r="A10" s="4" t="s">
        <v>48</v>
      </c>
      <c r="B10" s="35" t="s">
        <v>236</v>
      </c>
      <c r="C10" s="35" t="s">
        <v>237</v>
      </c>
      <c r="D10" s="35" t="s">
        <v>237</v>
      </c>
      <c r="E10" s="34" t="s">
        <v>47</v>
      </c>
      <c r="F10" s="35">
        <v>4</v>
      </c>
      <c r="G10" s="39" t="s">
        <v>428</v>
      </c>
      <c r="H10" s="35" t="s">
        <v>402</v>
      </c>
      <c r="I10" s="35" t="s">
        <v>234</v>
      </c>
      <c r="J10" s="34" t="s">
        <v>177</v>
      </c>
      <c r="K10" s="35" t="s">
        <v>177</v>
      </c>
      <c r="L10" s="35" t="s">
        <v>177</v>
      </c>
      <c r="M10" s="34" t="s">
        <v>488</v>
      </c>
      <c r="N10" s="35" t="s">
        <v>488</v>
      </c>
      <c r="O10" s="34" t="s">
        <v>488</v>
      </c>
      <c r="P10" s="35" t="s">
        <v>488</v>
      </c>
      <c r="Q10" s="34" t="s">
        <v>234</v>
      </c>
      <c r="R10" s="35" t="s">
        <v>234</v>
      </c>
      <c r="S10" s="35" t="s">
        <v>577</v>
      </c>
      <c r="T10" s="34" t="s">
        <v>428</v>
      </c>
      <c r="U10" s="35" t="s">
        <v>683</v>
      </c>
      <c r="V10" s="35" t="s">
        <v>488</v>
      </c>
      <c r="W10" s="35" t="s">
        <v>488</v>
      </c>
      <c r="X10" s="35" t="s">
        <v>683</v>
      </c>
      <c r="Y10" s="39" t="s">
        <v>428</v>
      </c>
      <c r="Z10" s="35" t="s">
        <v>177</v>
      </c>
      <c r="AA10" s="35" t="s">
        <v>177</v>
      </c>
      <c r="AB10" s="36">
        <v>46204</v>
      </c>
      <c r="AC10" s="36">
        <v>46418</v>
      </c>
      <c r="AD10" s="36" t="s">
        <v>488</v>
      </c>
      <c r="AE10" s="36">
        <v>46082</v>
      </c>
      <c r="AF10" s="36">
        <v>46082</v>
      </c>
    </row>
    <row r="11" spans="1:41" s="5" customFormat="1" ht="24" hidden="1" customHeight="1">
      <c r="A11" s="4" t="s">
        <v>50</v>
      </c>
      <c r="B11" s="33" t="s">
        <v>129</v>
      </c>
      <c r="C11" s="35" t="s">
        <v>130</v>
      </c>
      <c r="D11" s="34" t="s">
        <v>124</v>
      </c>
      <c r="E11" s="34" t="s">
        <v>47</v>
      </c>
      <c r="F11" s="34">
        <v>10</v>
      </c>
      <c r="G11" s="37" t="s">
        <v>207</v>
      </c>
      <c r="H11" s="35" t="s">
        <v>402</v>
      </c>
      <c r="I11" s="35" t="s">
        <v>234</v>
      </c>
      <c r="J11" s="34" t="s">
        <v>176</v>
      </c>
      <c r="K11" s="35" t="s">
        <v>283</v>
      </c>
      <c r="L11" s="34" t="s">
        <v>177</v>
      </c>
      <c r="M11" s="34" t="s">
        <v>247</v>
      </c>
      <c r="N11" s="34" t="s">
        <v>446</v>
      </c>
      <c r="O11" s="34" t="s">
        <v>446</v>
      </c>
      <c r="P11" s="34" t="s">
        <v>496</v>
      </c>
      <c r="Q11" s="34" t="s">
        <v>234</v>
      </c>
      <c r="R11" s="34" t="s">
        <v>536</v>
      </c>
      <c r="S11" s="34" t="s">
        <v>234</v>
      </c>
      <c r="T11" s="35" t="s">
        <v>207</v>
      </c>
      <c r="U11" s="34" t="s">
        <v>599</v>
      </c>
      <c r="V11" s="34">
        <v>12</v>
      </c>
      <c r="W11" s="34">
        <v>30</v>
      </c>
      <c r="X11" s="34"/>
      <c r="Y11" s="37" t="s">
        <v>207</v>
      </c>
      <c r="Z11" s="34" t="s">
        <v>176</v>
      </c>
      <c r="AA11" s="34" t="s">
        <v>176</v>
      </c>
      <c r="AB11" s="36">
        <v>46265</v>
      </c>
      <c r="AC11" s="36">
        <v>46416</v>
      </c>
      <c r="AD11" s="34" t="s">
        <v>825</v>
      </c>
      <c r="AE11" s="36">
        <v>46157</v>
      </c>
      <c r="AF11" s="36">
        <v>46157</v>
      </c>
    </row>
    <row r="12" spans="1:41" s="5" customFormat="1" ht="92.4">
      <c r="A12" s="4" t="s">
        <v>52</v>
      </c>
      <c r="B12" s="34" t="s">
        <v>238</v>
      </c>
      <c r="C12" s="34" t="s">
        <v>130</v>
      </c>
      <c r="D12" s="35" t="s">
        <v>124</v>
      </c>
      <c r="E12" s="34" t="s">
        <v>47</v>
      </c>
      <c r="F12" s="34">
        <v>4</v>
      </c>
      <c r="G12" s="55" t="s">
        <v>1170</v>
      </c>
      <c r="H12" s="35" t="s">
        <v>402</v>
      </c>
      <c r="I12" s="35" t="s">
        <v>234</v>
      </c>
      <c r="J12" s="34" t="s">
        <v>177</v>
      </c>
      <c r="K12" s="34" t="s">
        <v>178</v>
      </c>
      <c r="L12" s="35" t="s">
        <v>177</v>
      </c>
      <c r="M12" s="34" t="s">
        <v>247</v>
      </c>
      <c r="N12" s="34" t="s">
        <v>247</v>
      </c>
      <c r="O12" s="34" t="s">
        <v>247</v>
      </c>
      <c r="P12" s="34" t="s">
        <v>247</v>
      </c>
      <c r="Q12" s="34" t="s">
        <v>234</v>
      </c>
      <c r="R12" s="35" t="s">
        <v>285</v>
      </c>
      <c r="S12" s="35" t="s">
        <v>550</v>
      </c>
      <c r="T12" s="54" t="s">
        <v>1171</v>
      </c>
      <c r="U12" s="34" t="s">
        <v>629</v>
      </c>
      <c r="V12" s="34" t="s">
        <v>184</v>
      </c>
      <c r="W12" s="34" t="s">
        <v>184</v>
      </c>
      <c r="X12" s="34"/>
      <c r="Y12" s="40" t="s">
        <v>747</v>
      </c>
      <c r="Z12" s="34" t="s">
        <v>176</v>
      </c>
      <c r="AA12" s="35" t="s">
        <v>177</v>
      </c>
      <c r="AB12" s="36">
        <v>46262</v>
      </c>
      <c r="AC12" s="36">
        <v>46416</v>
      </c>
      <c r="AD12" s="34" t="s">
        <v>843</v>
      </c>
      <c r="AE12" s="36">
        <v>46157</v>
      </c>
      <c r="AF12" s="36">
        <v>46174</v>
      </c>
      <c r="AI12" s="5" t="s">
        <v>1173</v>
      </c>
      <c r="AJ12" s="59" t="s">
        <v>1216</v>
      </c>
    </row>
    <row r="13" spans="1:41" s="5" customFormat="1" ht="24" hidden="1" customHeight="1">
      <c r="A13" s="4" t="s">
        <v>53</v>
      </c>
      <c r="B13" s="33" t="s">
        <v>157</v>
      </c>
      <c r="C13" s="34" t="s">
        <v>158</v>
      </c>
      <c r="D13" s="34" t="s">
        <v>124</v>
      </c>
      <c r="E13" s="34" t="s">
        <v>47</v>
      </c>
      <c r="F13" s="34">
        <v>2</v>
      </c>
      <c r="G13" s="37" t="s">
        <v>243</v>
      </c>
      <c r="H13" s="35" t="s">
        <v>402</v>
      </c>
      <c r="I13" s="35" t="s">
        <v>234</v>
      </c>
      <c r="J13" s="34" t="s">
        <v>177</v>
      </c>
      <c r="K13" s="35" t="s">
        <v>178</v>
      </c>
      <c r="L13" s="34" t="s">
        <v>177</v>
      </c>
      <c r="M13" s="34" t="s">
        <v>247</v>
      </c>
      <c r="N13" s="34" t="s">
        <v>468</v>
      </c>
      <c r="O13" s="35" t="s">
        <v>193</v>
      </c>
      <c r="P13" s="34" t="s">
        <v>248</v>
      </c>
      <c r="Q13" s="34" t="s">
        <v>234</v>
      </c>
      <c r="R13" s="34" t="s">
        <v>565</v>
      </c>
      <c r="S13" s="34" t="s">
        <v>234</v>
      </c>
      <c r="T13" s="34" t="s">
        <v>656</v>
      </c>
      <c r="U13" s="34" t="s">
        <v>257</v>
      </c>
      <c r="V13" s="34" t="s">
        <v>260</v>
      </c>
      <c r="W13" s="34" t="s">
        <v>783</v>
      </c>
      <c r="X13" s="34"/>
      <c r="Y13" s="37" t="s">
        <v>784</v>
      </c>
      <c r="Z13" s="34" t="s">
        <v>176</v>
      </c>
      <c r="AA13" s="34" t="s">
        <v>177</v>
      </c>
      <c r="AB13" s="36">
        <v>46258</v>
      </c>
      <c r="AC13" s="36">
        <v>46044</v>
      </c>
      <c r="AD13" s="34" t="s">
        <v>860</v>
      </c>
      <c r="AE13" s="36">
        <v>46126</v>
      </c>
      <c r="AF13" s="36">
        <v>46143</v>
      </c>
    </row>
    <row r="14" spans="1:41" s="5" customFormat="1" ht="409.6">
      <c r="A14" s="4" t="s">
        <v>55</v>
      </c>
      <c r="B14" s="33" t="s">
        <v>401</v>
      </c>
      <c r="C14" s="34" t="s">
        <v>123</v>
      </c>
      <c r="D14" s="34" t="s">
        <v>124</v>
      </c>
      <c r="E14" s="34" t="s">
        <v>47</v>
      </c>
      <c r="F14" s="34">
        <v>4</v>
      </c>
      <c r="G14" s="37" t="s">
        <v>261</v>
      </c>
      <c r="H14" s="35" t="s">
        <v>402</v>
      </c>
      <c r="I14" s="35" t="s">
        <v>234</v>
      </c>
      <c r="J14" s="34" t="s">
        <v>177</v>
      </c>
      <c r="K14" s="35" t="s">
        <v>178</v>
      </c>
      <c r="L14" s="34" t="s">
        <v>177</v>
      </c>
      <c r="M14" s="34" t="s">
        <v>439</v>
      </c>
      <c r="N14" s="34" t="s">
        <v>440</v>
      </c>
      <c r="O14" s="35" t="s">
        <v>491</v>
      </c>
      <c r="P14" s="34" t="s">
        <v>492</v>
      </c>
      <c r="Q14" s="34" t="s">
        <v>234</v>
      </c>
      <c r="R14" s="34" t="s">
        <v>180</v>
      </c>
      <c r="S14" s="34" t="s">
        <v>234</v>
      </c>
      <c r="T14" s="54" t="s">
        <v>1174</v>
      </c>
      <c r="U14" s="34" t="s">
        <v>584</v>
      </c>
      <c r="V14" s="34">
        <v>18</v>
      </c>
      <c r="W14" s="34" t="s">
        <v>262</v>
      </c>
      <c r="X14" s="34" t="s">
        <v>688</v>
      </c>
      <c r="Y14" s="37" t="s">
        <v>584</v>
      </c>
      <c r="Z14" s="34" t="s">
        <v>176</v>
      </c>
      <c r="AA14" s="34" t="s">
        <v>177</v>
      </c>
      <c r="AB14" s="36">
        <v>46266</v>
      </c>
      <c r="AC14" s="36">
        <v>46446</v>
      </c>
      <c r="AD14" s="34" t="s">
        <v>816</v>
      </c>
      <c r="AE14" s="36">
        <v>46174</v>
      </c>
      <c r="AF14" s="36">
        <v>46174</v>
      </c>
      <c r="AI14" s="5" t="s">
        <v>1173</v>
      </c>
      <c r="AJ14" s="72" t="s">
        <v>1215</v>
      </c>
      <c r="AK14" s="72" t="s">
        <v>1263</v>
      </c>
      <c r="AM14" s="67" t="s">
        <v>1265</v>
      </c>
    </row>
    <row r="15" spans="1:41" s="5" customFormat="1" ht="250.8">
      <c r="A15" s="4" t="s">
        <v>56</v>
      </c>
      <c r="B15" s="33" t="s">
        <v>241</v>
      </c>
      <c r="C15" s="34" t="s">
        <v>123</v>
      </c>
      <c r="D15" s="34" t="s">
        <v>124</v>
      </c>
      <c r="E15" s="34" t="s">
        <v>47</v>
      </c>
      <c r="F15" s="34">
        <v>8</v>
      </c>
      <c r="G15" s="37" t="s">
        <v>206</v>
      </c>
      <c r="H15" s="35" t="s">
        <v>402</v>
      </c>
      <c r="I15" s="35" t="s">
        <v>234</v>
      </c>
      <c r="J15" s="34" t="s">
        <v>177</v>
      </c>
      <c r="K15" s="35" t="s">
        <v>178</v>
      </c>
      <c r="L15" s="34" t="s">
        <v>177</v>
      </c>
      <c r="M15" s="34" t="s">
        <v>247</v>
      </c>
      <c r="N15" s="34" t="s">
        <v>247</v>
      </c>
      <c r="O15" s="34" t="s">
        <v>247</v>
      </c>
      <c r="P15" s="34" t="s">
        <v>247</v>
      </c>
      <c r="Q15" s="34" t="s">
        <v>234</v>
      </c>
      <c r="R15" s="34" t="s">
        <v>231</v>
      </c>
      <c r="S15" s="34" t="s">
        <v>528</v>
      </c>
      <c r="T15" s="54" t="s">
        <v>1175</v>
      </c>
      <c r="U15" s="34" t="s">
        <v>590</v>
      </c>
      <c r="V15" s="34" t="s">
        <v>263</v>
      </c>
      <c r="W15" s="34" t="s">
        <v>263</v>
      </c>
      <c r="X15" s="34"/>
      <c r="Y15" s="37" t="s">
        <v>263</v>
      </c>
      <c r="Z15" s="34" t="s">
        <v>177</v>
      </c>
      <c r="AA15" s="34" t="s">
        <v>176</v>
      </c>
      <c r="AB15" s="36">
        <v>46296</v>
      </c>
      <c r="AC15" s="36">
        <v>46433</v>
      </c>
      <c r="AD15" s="34" t="s">
        <v>820</v>
      </c>
      <c r="AE15" s="36">
        <v>46157</v>
      </c>
      <c r="AF15" s="36">
        <v>46173</v>
      </c>
      <c r="AI15" s="5" t="s">
        <v>1173</v>
      </c>
      <c r="AJ15" s="59" t="s">
        <v>1199</v>
      </c>
      <c r="AK15" s="5" t="s">
        <v>1260</v>
      </c>
      <c r="AL15" s="5" t="s">
        <v>1297</v>
      </c>
      <c r="AM15" s="66" t="s">
        <v>1261</v>
      </c>
    </row>
    <row r="16" spans="1:41" s="5" customFormat="1" ht="163.19999999999999">
      <c r="A16" s="4" t="s">
        <v>58</v>
      </c>
      <c r="B16" s="33" t="s">
        <v>169</v>
      </c>
      <c r="C16" s="35" t="s">
        <v>123</v>
      </c>
      <c r="D16" s="34" t="s">
        <v>124</v>
      </c>
      <c r="E16" s="34" t="s">
        <v>47</v>
      </c>
      <c r="F16" s="34" t="s">
        <v>434</v>
      </c>
      <c r="G16" s="37" t="s">
        <v>245</v>
      </c>
      <c r="H16" s="35" t="s">
        <v>402</v>
      </c>
      <c r="I16" s="35" t="s">
        <v>234</v>
      </c>
      <c r="J16" s="34" t="s">
        <v>177</v>
      </c>
      <c r="K16" s="35" t="s">
        <v>178</v>
      </c>
      <c r="L16" s="34" t="s">
        <v>177</v>
      </c>
      <c r="M16" s="34" t="s">
        <v>247</v>
      </c>
      <c r="N16" s="34" t="s">
        <v>443</v>
      </c>
      <c r="O16" s="35" t="s">
        <v>493</v>
      </c>
      <c r="P16" s="34" t="s">
        <v>251</v>
      </c>
      <c r="Q16" s="34" t="s">
        <v>234</v>
      </c>
      <c r="R16" s="34" t="s">
        <v>529</v>
      </c>
      <c r="S16" s="34" t="s">
        <v>530</v>
      </c>
      <c r="T16" s="54" t="s">
        <v>1176</v>
      </c>
      <c r="U16" s="34" t="s">
        <v>591</v>
      </c>
      <c r="V16" s="34" t="s">
        <v>697</v>
      </c>
      <c r="W16" s="34" t="s">
        <v>698</v>
      </c>
      <c r="X16" s="34"/>
      <c r="Y16" s="37" t="s">
        <v>258</v>
      </c>
      <c r="Z16" s="34" t="s">
        <v>176</v>
      </c>
      <c r="AA16" s="34" t="s">
        <v>176</v>
      </c>
      <c r="AB16" s="36">
        <v>46296</v>
      </c>
      <c r="AC16" s="36">
        <v>46477</v>
      </c>
      <c r="AD16" s="34" t="s">
        <v>821</v>
      </c>
      <c r="AE16" s="36">
        <v>46143</v>
      </c>
      <c r="AF16" s="36">
        <v>46157</v>
      </c>
      <c r="AI16" s="5" t="s">
        <v>1173</v>
      </c>
      <c r="AJ16" s="59" t="s">
        <v>1200</v>
      </c>
      <c r="AK16" s="5" t="s">
        <v>1260</v>
      </c>
      <c r="AL16" s="5" t="s">
        <v>1279</v>
      </c>
      <c r="AM16" s="66" t="s">
        <v>1259</v>
      </c>
    </row>
    <row r="17" spans="1:39" s="5" customFormat="1" ht="105.6">
      <c r="A17" s="4" t="s">
        <v>190</v>
      </c>
      <c r="B17" s="34" t="s">
        <v>166</v>
      </c>
      <c r="C17" s="35" t="s">
        <v>123</v>
      </c>
      <c r="D17" s="34" t="s">
        <v>124</v>
      </c>
      <c r="E17" s="34" t="s">
        <v>47</v>
      </c>
      <c r="F17" s="34">
        <v>2</v>
      </c>
      <c r="G17" s="37" t="s">
        <v>244</v>
      </c>
      <c r="H17" s="35" t="s">
        <v>402</v>
      </c>
      <c r="I17" s="35" t="s">
        <v>234</v>
      </c>
      <c r="J17" s="35" t="s">
        <v>177</v>
      </c>
      <c r="K17" s="35" t="s">
        <v>178</v>
      </c>
      <c r="L17" s="35" t="s">
        <v>177</v>
      </c>
      <c r="M17" s="34" t="s">
        <v>247</v>
      </c>
      <c r="N17" s="34" t="s">
        <v>448</v>
      </c>
      <c r="O17" s="35" t="s">
        <v>448</v>
      </c>
      <c r="P17" s="35" t="s">
        <v>448</v>
      </c>
      <c r="Q17" s="34" t="s">
        <v>234</v>
      </c>
      <c r="R17" s="35" t="s">
        <v>448</v>
      </c>
      <c r="S17" s="34" t="s">
        <v>234</v>
      </c>
      <c r="T17" s="54" t="s">
        <v>1177</v>
      </c>
      <c r="U17" s="37" t="s">
        <v>608</v>
      </c>
      <c r="V17" s="34" t="s">
        <v>718</v>
      </c>
      <c r="W17" s="34" t="s">
        <v>718</v>
      </c>
      <c r="X17" s="34" t="s">
        <v>719</v>
      </c>
      <c r="Y17" s="34" t="s">
        <v>720</v>
      </c>
      <c r="Z17" s="35" t="s">
        <v>177</v>
      </c>
      <c r="AA17" s="34" t="s">
        <v>177</v>
      </c>
      <c r="AB17" s="36">
        <v>46296</v>
      </c>
      <c r="AC17" s="36">
        <v>46477</v>
      </c>
      <c r="AD17" s="34" t="s">
        <v>830</v>
      </c>
      <c r="AE17" s="44">
        <v>46204</v>
      </c>
      <c r="AF17" s="44">
        <v>46218</v>
      </c>
      <c r="AI17" s="5" t="s">
        <v>1173</v>
      </c>
      <c r="AJ17" s="59" t="s">
        <v>1201</v>
      </c>
      <c r="AK17" s="5" t="s">
        <v>1263</v>
      </c>
      <c r="AL17" s="5" t="s">
        <v>1293</v>
      </c>
      <c r="AM17" s="66" t="s">
        <v>1296</v>
      </c>
    </row>
    <row r="18" spans="1:39" s="5" customFormat="1" ht="24" hidden="1" customHeight="1">
      <c r="A18" s="4" t="s">
        <v>175</v>
      </c>
      <c r="B18" s="34" t="s">
        <v>239</v>
      </c>
      <c r="C18" s="35" t="s">
        <v>123</v>
      </c>
      <c r="D18" s="34" t="s">
        <v>124</v>
      </c>
      <c r="E18" s="34" t="s">
        <v>47</v>
      </c>
      <c r="F18" s="34">
        <v>2</v>
      </c>
      <c r="G18" s="37" t="s">
        <v>222</v>
      </c>
      <c r="H18" s="35" t="s">
        <v>402</v>
      </c>
      <c r="I18" s="35" t="s">
        <v>234</v>
      </c>
      <c r="J18" s="35" t="s">
        <v>177</v>
      </c>
      <c r="K18" s="35" t="s">
        <v>178</v>
      </c>
      <c r="L18" s="35" t="s">
        <v>176</v>
      </c>
      <c r="M18" s="34" t="s">
        <v>247</v>
      </c>
      <c r="N18" s="42" t="s">
        <v>223</v>
      </c>
      <c r="O18" s="42" t="s">
        <v>223</v>
      </c>
      <c r="P18" s="42" t="s">
        <v>223</v>
      </c>
      <c r="Q18" s="34" t="s">
        <v>234</v>
      </c>
      <c r="R18" s="35" t="s">
        <v>223</v>
      </c>
      <c r="S18" s="34" t="s">
        <v>234</v>
      </c>
      <c r="T18" s="34" t="s">
        <v>222</v>
      </c>
      <c r="U18" s="34" t="s">
        <v>224</v>
      </c>
      <c r="V18" s="42" t="s">
        <v>737</v>
      </c>
      <c r="W18" s="42" t="s">
        <v>737</v>
      </c>
      <c r="X18" s="34"/>
      <c r="Y18" s="37" t="s">
        <v>738</v>
      </c>
      <c r="Z18" s="35" t="s">
        <v>176</v>
      </c>
      <c r="AA18" s="34" t="s">
        <v>177</v>
      </c>
      <c r="AB18" s="36">
        <v>46296</v>
      </c>
      <c r="AC18" s="36">
        <v>46446</v>
      </c>
      <c r="AD18" s="34" t="s">
        <v>838</v>
      </c>
      <c r="AE18" s="36">
        <v>46143</v>
      </c>
      <c r="AF18" s="36">
        <v>46157</v>
      </c>
      <c r="AJ18" s="59" t="s">
        <v>1202</v>
      </c>
      <c r="AM18" s="59" t="s">
        <v>1202</v>
      </c>
    </row>
    <row r="19" spans="1:39" s="5" customFormat="1" ht="225.6">
      <c r="A19" s="4" t="s">
        <v>59</v>
      </c>
      <c r="B19" s="35" t="s">
        <v>370</v>
      </c>
      <c r="C19" s="34" t="s">
        <v>123</v>
      </c>
      <c r="D19" s="35" t="s">
        <v>124</v>
      </c>
      <c r="E19" s="34" t="s">
        <v>47</v>
      </c>
      <c r="F19" s="34">
        <v>2</v>
      </c>
      <c r="G19" s="40" t="s">
        <v>219</v>
      </c>
      <c r="H19" s="35" t="s">
        <v>402</v>
      </c>
      <c r="I19" s="35" t="s">
        <v>234</v>
      </c>
      <c r="J19" s="35" t="s">
        <v>177</v>
      </c>
      <c r="K19" s="35" t="s">
        <v>178</v>
      </c>
      <c r="L19" s="35" t="s">
        <v>177</v>
      </c>
      <c r="M19" s="34" t="s">
        <v>247</v>
      </c>
      <c r="N19" s="41" t="s">
        <v>252</v>
      </c>
      <c r="O19" s="35" t="s">
        <v>253</v>
      </c>
      <c r="P19" s="35">
        <v>6</v>
      </c>
      <c r="Q19" s="34" t="s">
        <v>234</v>
      </c>
      <c r="R19" s="35" t="s">
        <v>234</v>
      </c>
      <c r="S19" s="41" t="s">
        <v>546</v>
      </c>
      <c r="T19" s="56" t="s">
        <v>1178</v>
      </c>
      <c r="U19" s="41" t="s">
        <v>285</v>
      </c>
      <c r="V19" s="41">
        <v>15</v>
      </c>
      <c r="W19" s="41">
        <v>40</v>
      </c>
      <c r="X19" s="41"/>
      <c r="Y19" s="55" t="s">
        <v>1178</v>
      </c>
      <c r="Z19" s="35" t="s">
        <v>176</v>
      </c>
      <c r="AA19" s="34" t="s">
        <v>177</v>
      </c>
      <c r="AB19" s="36">
        <v>46276</v>
      </c>
      <c r="AC19" s="36">
        <v>46374</v>
      </c>
      <c r="AD19" s="34" t="s">
        <v>839</v>
      </c>
      <c r="AE19" s="36">
        <v>46127</v>
      </c>
      <c r="AF19" s="36">
        <v>46127</v>
      </c>
      <c r="AI19" s="5" t="s">
        <v>1173</v>
      </c>
      <c r="AJ19" s="59" t="s">
        <v>1179</v>
      </c>
      <c r="AK19" s="5" t="s">
        <v>1260</v>
      </c>
      <c r="AL19" s="5" t="s">
        <v>1263</v>
      </c>
      <c r="AM19" s="66" t="s">
        <v>1262</v>
      </c>
    </row>
    <row r="20" spans="1:39" s="5" customFormat="1" ht="211.2">
      <c r="A20" s="4" t="s">
        <v>60</v>
      </c>
      <c r="B20" s="34" t="s">
        <v>167</v>
      </c>
      <c r="C20" s="35" t="s">
        <v>123</v>
      </c>
      <c r="D20" s="35" t="s">
        <v>124</v>
      </c>
      <c r="E20" s="34" t="s">
        <v>47</v>
      </c>
      <c r="F20" s="34">
        <v>1</v>
      </c>
      <c r="G20" s="40" t="s">
        <v>413</v>
      </c>
      <c r="H20" s="35" t="s">
        <v>402</v>
      </c>
      <c r="I20" s="35" t="s">
        <v>234</v>
      </c>
      <c r="J20" s="35" t="s">
        <v>176</v>
      </c>
      <c r="K20" s="35" t="s">
        <v>178</v>
      </c>
      <c r="L20" s="35" t="s">
        <v>177</v>
      </c>
      <c r="M20" s="34" t="s">
        <v>247</v>
      </c>
      <c r="N20" s="34" t="s">
        <v>457</v>
      </c>
      <c r="O20" s="34" t="s">
        <v>500</v>
      </c>
      <c r="P20" s="34" t="s">
        <v>501</v>
      </c>
      <c r="Q20" s="34" t="s">
        <v>234</v>
      </c>
      <c r="R20" s="35" t="s">
        <v>234</v>
      </c>
      <c r="S20" s="34" t="s">
        <v>234</v>
      </c>
      <c r="T20" s="34" t="s">
        <v>1180</v>
      </c>
      <c r="U20" s="42" t="s">
        <v>630</v>
      </c>
      <c r="V20" s="42" t="s">
        <v>748</v>
      </c>
      <c r="W20" s="42" t="s">
        <v>184</v>
      </c>
      <c r="X20" s="34" t="s">
        <v>749</v>
      </c>
      <c r="Y20" s="40" t="s">
        <v>750</v>
      </c>
      <c r="Z20" s="34" t="s">
        <v>176</v>
      </c>
      <c r="AA20" s="34" t="s">
        <v>176</v>
      </c>
      <c r="AB20" s="36">
        <v>46266</v>
      </c>
      <c r="AC20" s="36">
        <v>46445</v>
      </c>
      <c r="AD20" s="34" t="s">
        <v>844</v>
      </c>
      <c r="AE20" s="36">
        <v>46142</v>
      </c>
      <c r="AF20" s="36">
        <v>46157</v>
      </c>
      <c r="AI20" s="5" t="s">
        <v>1173</v>
      </c>
      <c r="AJ20" s="59" t="s">
        <v>1203</v>
      </c>
      <c r="AK20" s="5" t="s">
        <v>1263</v>
      </c>
      <c r="AL20" s="5" t="s">
        <v>1263</v>
      </c>
      <c r="AM20" s="66" t="s">
        <v>1295</v>
      </c>
    </row>
    <row r="21" spans="1:39" s="5" customFormat="1" ht="118.8">
      <c r="A21" s="4" t="s">
        <v>63</v>
      </c>
      <c r="B21" s="35" t="s">
        <v>374</v>
      </c>
      <c r="C21" s="35" t="s">
        <v>123</v>
      </c>
      <c r="D21" s="35" t="s">
        <v>124</v>
      </c>
      <c r="E21" s="34" t="s">
        <v>47</v>
      </c>
      <c r="F21" s="35">
        <v>2</v>
      </c>
      <c r="G21" s="39" t="s">
        <v>205</v>
      </c>
      <c r="H21" s="35" t="s">
        <v>402</v>
      </c>
      <c r="I21" s="35" t="s">
        <v>234</v>
      </c>
      <c r="J21" s="35" t="s">
        <v>177</v>
      </c>
      <c r="K21" s="35" t="s">
        <v>178</v>
      </c>
      <c r="L21" s="35" t="s">
        <v>177</v>
      </c>
      <c r="M21" s="34" t="s">
        <v>458</v>
      </c>
      <c r="N21" s="41" t="s">
        <v>459</v>
      </c>
      <c r="O21" s="41" t="s">
        <v>502</v>
      </c>
      <c r="P21" s="35" t="s">
        <v>503</v>
      </c>
      <c r="Q21" s="34" t="s">
        <v>234</v>
      </c>
      <c r="R21" s="35" t="s">
        <v>234</v>
      </c>
      <c r="S21" s="34" t="s">
        <v>234</v>
      </c>
      <c r="T21" s="56" t="s">
        <v>1181</v>
      </c>
      <c r="U21" s="41" t="s">
        <v>231</v>
      </c>
      <c r="V21" s="35" t="s">
        <v>231</v>
      </c>
      <c r="W21" s="35" t="s">
        <v>231</v>
      </c>
      <c r="X21" s="41" t="s">
        <v>231</v>
      </c>
      <c r="Y21" s="39" t="s">
        <v>753</v>
      </c>
      <c r="Z21" s="35" t="s">
        <v>177</v>
      </c>
      <c r="AA21" s="35" t="s">
        <v>176</v>
      </c>
      <c r="AB21" s="36">
        <v>46296</v>
      </c>
      <c r="AC21" s="36">
        <v>46477</v>
      </c>
      <c r="AD21" s="34" t="s">
        <v>846</v>
      </c>
      <c r="AE21" s="36">
        <v>46113</v>
      </c>
      <c r="AF21" s="36">
        <v>46143</v>
      </c>
    </row>
    <row r="22" spans="1:39" s="5" customFormat="1" ht="409.6">
      <c r="A22" s="4" t="s">
        <v>64</v>
      </c>
      <c r="B22" s="46" t="s">
        <v>376</v>
      </c>
      <c r="C22" s="35" t="s">
        <v>123</v>
      </c>
      <c r="D22" s="35" t="s">
        <v>124</v>
      </c>
      <c r="E22" s="35" t="s">
        <v>47</v>
      </c>
      <c r="F22" s="35">
        <v>1</v>
      </c>
      <c r="G22" s="41" t="s">
        <v>415</v>
      </c>
      <c r="H22" s="35" t="s">
        <v>402</v>
      </c>
      <c r="I22" s="35" t="s">
        <v>234</v>
      </c>
      <c r="J22" s="34" t="s">
        <v>177</v>
      </c>
      <c r="K22" s="35" t="s">
        <v>178</v>
      </c>
      <c r="L22" s="35" t="s">
        <v>177</v>
      </c>
      <c r="M22" s="34" t="s">
        <v>247</v>
      </c>
      <c r="N22" s="34">
        <v>72</v>
      </c>
      <c r="O22" s="34">
        <v>543</v>
      </c>
      <c r="P22" s="34">
        <v>5.5</v>
      </c>
      <c r="Q22" s="34" t="s">
        <v>234</v>
      </c>
      <c r="R22" s="35" t="s">
        <v>234</v>
      </c>
      <c r="S22" s="35" t="s">
        <v>554</v>
      </c>
      <c r="T22" s="34" t="s">
        <v>637</v>
      </c>
      <c r="U22" s="41" t="s">
        <v>291</v>
      </c>
      <c r="V22" s="41">
        <v>0</v>
      </c>
      <c r="W22" s="41">
        <v>99</v>
      </c>
      <c r="X22" s="41" t="s">
        <v>1182</v>
      </c>
      <c r="Y22" s="58" t="s">
        <v>1183</v>
      </c>
      <c r="Z22" s="35" t="s">
        <v>176</v>
      </c>
      <c r="AA22" s="35" t="s">
        <v>177</v>
      </c>
      <c r="AB22" s="36">
        <v>46307</v>
      </c>
      <c r="AC22" s="36">
        <v>46423</v>
      </c>
      <c r="AD22" s="34" t="s">
        <v>849</v>
      </c>
      <c r="AE22" s="36">
        <v>46127</v>
      </c>
      <c r="AF22" s="36">
        <v>46157</v>
      </c>
    </row>
    <row r="23" spans="1:39" s="5" customFormat="1" ht="24" hidden="1" customHeight="1">
      <c r="A23" s="4" t="s">
        <v>65</v>
      </c>
      <c r="B23" s="33" t="s">
        <v>168</v>
      </c>
      <c r="C23" s="35" t="s">
        <v>123</v>
      </c>
      <c r="D23" s="34" t="s">
        <v>124</v>
      </c>
      <c r="E23" s="34" t="s">
        <v>47</v>
      </c>
      <c r="F23" s="34">
        <v>3</v>
      </c>
      <c r="G23" s="37" t="s">
        <v>246</v>
      </c>
      <c r="H23" s="35" t="s">
        <v>402</v>
      </c>
      <c r="I23" s="35" t="s">
        <v>234</v>
      </c>
      <c r="J23" s="34" t="s">
        <v>177</v>
      </c>
      <c r="K23" s="35" t="s">
        <v>178</v>
      </c>
      <c r="L23" s="34" t="s">
        <v>177</v>
      </c>
      <c r="M23" s="34" t="s">
        <v>247</v>
      </c>
      <c r="N23" s="34" t="s">
        <v>463</v>
      </c>
      <c r="O23" s="34" t="s">
        <v>506</v>
      </c>
      <c r="P23" s="34" t="s">
        <v>507</v>
      </c>
      <c r="Q23" s="34" t="s">
        <v>234</v>
      </c>
      <c r="R23" s="35" t="s">
        <v>234</v>
      </c>
      <c r="S23" s="34" t="s">
        <v>234</v>
      </c>
      <c r="T23" s="34" t="s">
        <v>643</v>
      </c>
      <c r="U23" s="34" t="s">
        <v>644</v>
      </c>
      <c r="V23" s="34" t="s">
        <v>768</v>
      </c>
      <c r="W23" s="34" t="s">
        <v>769</v>
      </c>
      <c r="X23" s="34"/>
      <c r="Y23" s="37" t="s">
        <v>770</v>
      </c>
      <c r="Z23" s="34" t="s">
        <v>176</v>
      </c>
      <c r="AA23" s="34" t="s">
        <v>177</v>
      </c>
      <c r="AB23" s="36">
        <v>46296</v>
      </c>
      <c r="AC23" s="36">
        <v>46446</v>
      </c>
      <c r="AD23" s="37" t="s">
        <v>853</v>
      </c>
      <c r="AE23" s="36">
        <v>46143</v>
      </c>
      <c r="AF23" s="36">
        <v>46157</v>
      </c>
    </row>
    <row r="24" spans="1:39" s="5" customFormat="1" ht="92.4">
      <c r="A24" s="4" t="s">
        <v>66</v>
      </c>
      <c r="B24" s="33" t="s">
        <v>240</v>
      </c>
      <c r="C24" s="34" t="s">
        <v>123</v>
      </c>
      <c r="D24" s="34" t="s">
        <v>124</v>
      </c>
      <c r="E24" s="34" t="s">
        <v>47</v>
      </c>
      <c r="F24" s="34">
        <v>4</v>
      </c>
      <c r="G24" s="54" t="s">
        <v>1184</v>
      </c>
      <c r="H24" s="35" t="s">
        <v>402</v>
      </c>
      <c r="I24" s="35" t="s">
        <v>234</v>
      </c>
      <c r="J24" s="34" t="s">
        <v>177</v>
      </c>
      <c r="K24" s="35" t="s">
        <v>178</v>
      </c>
      <c r="L24" s="34" t="s">
        <v>177</v>
      </c>
      <c r="M24" s="34" t="s">
        <v>247</v>
      </c>
      <c r="N24" s="34" t="s">
        <v>249</v>
      </c>
      <c r="O24" s="34" t="s">
        <v>509</v>
      </c>
      <c r="P24" s="34" t="s">
        <v>250</v>
      </c>
      <c r="Q24" s="34" t="s">
        <v>234</v>
      </c>
      <c r="R24" s="34" t="s">
        <v>562</v>
      </c>
      <c r="S24" s="34" t="s">
        <v>234</v>
      </c>
      <c r="T24" s="34" t="s">
        <v>649</v>
      </c>
      <c r="U24" s="34" t="s">
        <v>254</v>
      </c>
      <c r="V24" s="34">
        <v>12</v>
      </c>
      <c r="W24" s="34">
        <v>30</v>
      </c>
      <c r="X24" s="34" t="s">
        <v>775</v>
      </c>
      <c r="Y24" s="54" t="s">
        <v>1185</v>
      </c>
      <c r="Z24" s="34" t="s">
        <v>177</v>
      </c>
      <c r="AA24" s="34" t="s">
        <v>176</v>
      </c>
      <c r="AB24" s="36">
        <v>46266</v>
      </c>
      <c r="AC24" s="36">
        <v>46630</v>
      </c>
      <c r="AD24" s="34" t="s">
        <v>855</v>
      </c>
      <c r="AE24" s="36">
        <v>46157</v>
      </c>
      <c r="AF24" s="36">
        <v>46172</v>
      </c>
    </row>
    <row r="25" spans="1:39" s="5" customFormat="1" ht="208.8">
      <c r="A25" s="4" t="s">
        <v>67</v>
      </c>
      <c r="B25" s="35" t="s">
        <v>386</v>
      </c>
      <c r="C25" s="35" t="s">
        <v>123</v>
      </c>
      <c r="D25" s="34" t="s">
        <v>124</v>
      </c>
      <c r="E25" s="34" t="s">
        <v>47</v>
      </c>
      <c r="F25" s="34">
        <v>2</v>
      </c>
      <c r="G25" s="37" t="s">
        <v>221</v>
      </c>
      <c r="H25" s="35" t="s">
        <v>402</v>
      </c>
      <c r="I25" s="35" t="s">
        <v>234</v>
      </c>
      <c r="J25" s="35" t="s">
        <v>177</v>
      </c>
      <c r="K25" s="35" t="s">
        <v>178</v>
      </c>
      <c r="L25" s="35" t="s">
        <v>177</v>
      </c>
      <c r="M25" s="34" t="s">
        <v>247</v>
      </c>
      <c r="N25" s="35" t="s">
        <v>475</v>
      </c>
      <c r="O25" s="35" t="s">
        <v>516</v>
      </c>
      <c r="P25" s="35">
        <v>6</v>
      </c>
      <c r="Q25" s="34" t="s">
        <v>234</v>
      </c>
      <c r="R25" s="35" t="s">
        <v>567</v>
      </c>
      <c r="S25" s="34" t="s">
        <v>568</v>
      </c>
      <c r="T25" s="35" t="s">
        <v>259</v>
      </c>
      <c r="U25" s="34" t="s">
        <v>663</v>
      </c>
      <c r="V25" s="34" t="s">
        <v>788</v>
      </c>
      <c r="W25" s="34" t="s">
        <v>789</v>
      </c>
      <c r="X25" s="35"/>
      <c r="Y25" s="54" t="s">
        <v>1186</v>
      </c>
      <c r="Z25" s="35" t="s">
        <v>176</v>
      </c>
      <c r="AA25" s="35" t="s">
        <v>177</v>
      </c>
      <c r="AB25" s="36">
        <v>46266</v>
      </c>
      <c r="AC25" s="36">
        <v>46446</v>
      </c>
      <c r="AD25" s="34" t="s">
        <v>863</v>
      </c>
      <c r="AE25" s="36">
        <v>46127</v>
      </c>
      <c r="AF25" s="36">
        <v>46143</v>
      </c>
      <c r="AI25" s="5" t="s">
        <v>1173</v>
      </c>
      <c r="AJ25" s="5" t="s">
        <v>1214</v>
      </c>
      <c r="AK25" s="5" t="s">
        <v>1263</v>
      </c>
      <c r="AL25" s="5" t="s">
        <v>1263</v>
      </c>
      <c r="AM25" s="67" t="s">
        <v>1264</v>
      </c>
    </row>
    <row r="26" spans="1:39" s="5" customFormat="1" ht="226.2">
      <c r="A26" s="4" t="s">
        <v>68</v>
      </c>
      <c r="B26" s="33" t="s">
        <v>391</v>
      </c>
      <c r="C26" s="34" t="s">
        <v>123</v>
      </c>
      <c r="D26" s="34" t="s">
        <v>124</v>
      </c>
      <c r="E26" s="34" t="s">
        <v>47</v>
      </c>
      <c r="F26" s="34">
        <v>4</v>
      </c>
      <c r="G26" s="37" t="s">
        <v>424</v>
      </c>
      <c r="H26" s="35" t="s">
        <v>402</v>
      </c>
      <c r="I26" s="35" t="s">
        <v>234</v>
      </c>
      <c r="J26" s="34" t="s">
        <v>177</v>
      </c>
      <c r="K26" s="35" t="s">
        <v>178</v>
      </c>
      <c r="L26" s="34" t="s">
        <v>177</v>
      </c>
      <c r="M26" s="34" t="s">
        <v>247</v>
      </c>
      <c r="N26" s="34" t="s">
        <v>484</v>
      </c>
      <c r="O26" s="35" t="s">
        <v>484</v>
      </c>
      <c r="P26" s="34" t="s">
        <v>484</v>
      </c>
      <c r="Q26" s="34" t="s">
        <v>234</v>
      </c>
      <c r="R26" s="35" t="s">
        <v>234</v>
      </c>
      <c r="S26" s="34" t="s">
        <v>234</v>
      </c>
      <c r="T26" s="34" t="s">
        <v>674</v>
      </c>
      <c r="U26" s="34" t="s">
        <v>483</v>
      </c>
      <c r="V26" s="34" t="s">
        <v>483</v>
      </c>
      <c r="W26" s="34" t="s">
        <v>483</v>
      </c>
      <c r="X26" s="34"/>
      <c r="Y26" s="54" t="s">
        <v>1187</v>
      </c>
      <c r="Z26" s="34" t="s">
        <v>177</v>
      </c>
      <c r="AA26" s="34" t="s">
        <v>177</v>
      </c>
      <c r="AB26" s="36">
        <v>46266</v>
      </c>
      <c r="AC26" s="36">
        <v>46446</v>
      </c>
      <c r="AD26" s="34" t="s">
        <v>870</v>
      </c>
      <c r="AE26" s="36">
        <v>46127</v>
      </c>
      <c r="AF26" s="36">
        <v>46143</v>
      </c>
      <c r="AI26" s="5" t="s">
        <v>1173</v>
      </c>
      <c r="AJ26" s="59" t="s">
        <v>1204</v>
      </c>
      <c r="AK26" s="68"/>
    </row>
    <row r="27" spans="1:39" s="5" customFormat="1" ht="191.4">
      <c r="A27" s="4" t="s">
        <v>69</v>
      </c>
      <c r="B27" s="33" t="s">
        <v>266</v>
      </c>
      <c r="C27" s="34" t="s">
        <v>395</v>
      </c>
      <c r="D27" s="34" t="s">
        <v>124</v>
      </c>
      <c r="E27" s="34" t="s">
        <v>47</v>
      </c>
      <c r="F27" s="34">
        <v>1</v>
      </c>
      <c r="G27" s="54" t="s">
        <v>1189</v>
      </c>
      <c r="H27" s="35" t="s">
        <v>407</v>
      </c>
      <c r="I27" s="35" t="s">
        <v>234</v>
      </c>
      <c r="J27" s="34" t="s">
        <v>177</v>
      </c>
      <c r="K27" s="35" t="s">
        <v>177</v>
      </c>
      <c r="L27" s="34" t="s">
        <v>177</v>
      </c>
      <c r="M27" s="34" t="s">
        <v>276</v>
      </c>
      <c r="N27" s="34" t="s">
        <v>203</v>
      </c>
      <c r="O27" s="34" t="s">
        <v>203</v>
      </c>
      <c r="P27" s="34" t="s">
        <v>203</v>
      </c>
      <c r="Q27" s="34" t="s">
        <v>234</v>
      </c>
      <c r="R27" s="35" t="s">
        <v>234</v>
      </c>
      <c r="S27" s="34" t="s">
        <v>234</v>
      </c>
      <c r="T27" s="34" t="s">
        <v>180</v>
      </c>
      <c r="U27" s="34" t="s">
        <v>682</v>
      </c>
      <c r="V27" s="34" t="s">
        <v>810</v>
      </c>
      <c r="W27" s="34" t="s">
        <v>811</v>
      </c>
      <c r="X27" s="34"/>
      <c r="Y27" s="54" t="s">
        <v>1189</v>
      </c>
      <c r="Z27" s="34" t="s">
        <v>176</v>
      </c>
      <c r="AA27" s="34" t="s">
        <v>177</v>
      </c>
      <c r="AB27" s="36">
        <v>46278</v>
      </c>
      <c r="AC27" s="36">
        <v>46439</v>
      </c>
      <c r="AD27" s="34" t="s">
        <v>874</v>
      </c>
      <c r="AE27" s="36">
        <v>46127</v>
      </c>
      <c r="AF27" s="36">
        <v>46157</v>
      </c>
      <c r="AI27" s="5" t="s">
        <v>1173</v>
      </c>
      <c r="AJ27" s="59" t="s">
        <v>1206</v>
      </c>
      <c r="AK27" s="71" t="s">
        <v>1263</v>
      </c>
      <c r="AL27" s="5" t="s">
        <v>1284</v>
      </c>
      <c r="AM27" s="67" t="s">
        <v>1283</v>
      </c>
    </row>
    <row r="28" spans="1:39" s="5" customFormat="1" ht="104.4">
      <c r="A28" s="4" t="s">
        <v>70</v>
      </c>
      <c r="B28" s="33" t="s">
        <v>171</v>
      </c>
      <c r="C28" s="34" t="s">
        <v>172</v>
      </c>
      <c r="D28" s="34" t="s">
        <v>124</v>
      </c>
      <c r="E28" s="34" t="s">
        <v>47</v>
      </c>
      <c r="F28" s="34">
        <v>2</v>
      </c>
      <c r="G28" s="37" t="s">
        <v>227</v>
      </c>
      <c r="H28" s="35" t="s">
        <v>402</v>
      </c>
      <c r="I28" s="35" t="s">
        <v>234</v>
      </c>
      <c r="J28" s="34" t="s">
        <v>177</v>
      </c>
      <c r="K28" s="35" t="s">
        <v>178</v>
      </c>
      <c r="L28" s="34" t="s">
        <v>177</v>
      </c>
      <c r="M28" s="34" t="s">
        <v>247</v>
      </c>
      <c r="N28" s="34" t="s">
        <v>437</v>
      </c>
      <c r="O28" s="34" t="s">
        <v>437</v>
      </c>
      <c r="P28" s="34" t="s">
        <v>437</v>
      </c>
      <c r="Q28" s="34" t="s">
        <v>234</v>
      </c>
      <c r="R28" s="34" t="s">
        <v>437</v>
      </c>
      <c r="S28" s="34" t="s">
        <v>234</v>
      </c>
      <c r="T28" s="34" t="s">
        <v>582</v>
      </c>
      <c r="U28" s="34" t="s">
        <v>257</v>
      </c>
      <c r="V28" s="34">
        <v>18</v>
      </c>
      <c r="W28" s="34">
        <v>33</v>
      </c>
      <c r="X28" s="34"/>
      <c r="Y28" s="54" t="s">
        <v>1190</v>
      </c>
      <c r="Z28" s="34" t="s">
        <v>176</v>
      </c>
      <c r="AA28" s="34" t="s">
        <v>177</v>
      </c>
      <c r="AB28" s="36">
        <v>46258</v>
      </c>
      <c r="AC28" s="36">
        <v>46418</v>
      </c>
      <c r="AD28" s="37" t="s">
        <v>814</v>
      </c>
      <c r="AE28" s="36">
        <v>46174</v>
      </c>
      <c r="AF28" s="36">
        <v>46203</v>
      </c>
      <c r="AI28" s="5" t="s">
        <v>1173</v>
      </c>
      <c r="AJ28" s="59" t="s">
        <v>1217</v>
      </c>
    </row>
    <row r="29" spans="1:39" s="5" customFormat="1" ht="226.2">
      <c r="A29" s="4" t="s">
        <v>192</v>
      </c>
      <c r="B29" s="34" t="s">
        <v>373</v>
      </c>
      <c r="C29" s="35" t="s">
        <v>172</v>
      </c>
      <c r="D29" s="35" t="s">
        <v>124</v>
      </c>
      <c r="E29" s="34" t="s">
        <v>47</v>
      </c>
      <c r="F29" s="34">
        <v>1</v>
      </c>
      <c r="G29" s="40" t="s">
        <v>412</v>
      </c>
      <c r="H29" s="35" t="s">
        <v>402</v>
      </c>
      <c r="I29" s="35" t="s">
        <v>234</v>
      </c>
      <c r="J29" s="35" t="s">
        <v>177</v>
      </c>
      <c r="K29" s="35" t="s">
        <v>178</v>
      </c>
      <c r="L29" s="35" t="s">
        <v>177</v>
      </c>
      <c r="M29" s="34" t="s">
        <v>180</v>
      </c>
      <c r="N29" s="34" t="s">
        <v>456</v>
      </c>
      <c r="O29" s="34" t="s">
        <v>180</v>
      </c>
      <c r="P29" s="34" t="s">
        <v>499</v>
      </c>
      <c r="Q29" s="34" t="s">
        <v>234</v>
      </c>
      <c r="R29" s="35" t="s">
        <v>549</v>
      </c>
      <c r="S29" s="35" t="s">
        <v>180</v>
      </c>
      <c r="T29" s="34" t="s">
        <v>412</v>
      </c>
      <c r="U29" s="34" t="s">
        <v>628</v>
      </c>
      <c r="V29" s="34" t="s">
        <v>290</v>
      </c>
      <c r="W29" s="34" t="s">
        <v>290</v>
      </c>
      <c r="X29" s="34" t="s">
        <v>746</v>
      </c>
      <c r="Y29" s="55" t="s">
        <v>1191</v>
      </c>
      <c r="Z29" s="34" t="s">
        <v>177</v>
      </c>
      <c r="AA29" s="35" t="s">
        <v>176</v>
      </c>
      <c r="AB29" s="36">
        <v>46261</v>
      </c>
      <c r="AC29" s="36">
        <v>46412</v>
      </c>
      <c r="AD29" s="34" t="s">
        <v>180</v>
      </c>
      <c r="AE29" s="36">
        <v>46142</v>
      </c>
      <c r="AF29" s="36">
        <v>46157</v>
      </c>
      <c r="AI29" s="5" t="s">
        <v>1173</v>
      </c>
      <c r="AJ29" s="59" t="s">
        <v>1207</v>
      </c>
      <c r="AK29" s="5" t="s">
        <v>1285</v>
      </c>
      <c r="AM29" s="67" t="s">
        <v>1286</v>
      </c>
    </row>
    <row r="30" spans="1:39" s="5" customFormat="1" ht="24" hidden="1" customHeight="1">
      <c r="A30" s="4" t="s">
        <v>71</v>
      </c>
      <c r="B30" s="33" t="s">
        <v>267</v>
      </c>
      <c r="C30" s="34" t="s">
        <v>100</v>
      </c>
      <c r="D30" s="34" t="s">
        <v>46</v>
      </c>
      <c r="E30" s="34" t="s">
        <v>47</v>
      </c>
      <c r="F30" s="34">
        <v>6</v>
      </c>
      <c r="G30" s="37" t="s">
        <v>204</v>
      </c>
      <c r="H30" s="35" t="s">
        <v>402</v>
      </c>
      <c r="I30" s="35" t="s">
        <v>234</v>
      </c>
      <c r="J30" s="34" t="s">
        <v>177</v>
      </c>
      <c r="K30" s="35" t="s">
        <v>178</v>
      </c>
      <c r="L30" s="34" t="s">
        <v>177</v>
      </c>
      <c r="M30" s="34" t="s">
        <v>182</v>
      </c>
      <c r="N30" s="34">
        <v>80</v>
      </c>
      <c r="O30" s="34">
        <v>550</v>
      </c>
      <c r="P30" s="34">
        <v>6</v>
      </c>
      <c r="Q30" s="34" t="s">
        <v>234</v>
      </c>
      <c r="R30" s="35" t="s">
        <v>234</v>
      </c>
      <c r="S30" s="34" t="s">
        <v>234</v>
      </c>
      <c r="T30" s="34" t="s">
        <v>284</v>
      </c>
      <c r="U30" s="34" t="s">
        <v>652</v>
      </c>
      <c r="V30" s="34" t="s">
        <v>776</v>
      </c>
      <c r="W30" s="34" t="s">
        <v>777</v>
      </c>
      <c r="X30" s="34"/>
      <c r="Y30" s="34" t="s">
        <v>204</v>
      </c>
      <c r="Z30" s="34" t="s">
        <v>176</v>
      </c>
      <c r="AA30" s="34" t="s">
        <v>176</v>
      </c>
      <c r="AB30" s="36">
        <v>46300</v>
      </c>
      <c r="AC30" s="36">
        <v>46068</v>
      </c>
      <c r="AD30" s="34" t="s">
        <v>857</v>
      </c>
      <c r="AE30" s="36">
        <v>46142</v>
      </c>
      <c r="AF30" s="36">
        <v>46173</v>
      </c>
      <c r="AJ30" s="59" t="s">
        <v>1210</v>
      </c>
    </row>
    <row r="31" spans="1:39" s="5" customFormat="1" ht="24" hidden="1" customHeight="1">
      <c r="A31" s="4" t="s">
        <v>72</v>
      </c>
      <c r="B31" s="33" t="s">
        <v>342</v>
      </c>
      <c r="C31" s="34" t="s">
        <v>100</v>
      </c>
      <c r="D31" s="34" t="s">
        <v>46</v>
      </c>
      <c r="E31" s="34" t="s">
        <v>47</v>
      </c>
      <c r="F31" s="34">
        <v>2</v>
      </c>
      <c r="G31" s="37" t="s">
        <v>344</v>
      </c>
      <c r="H31" s="35" t="s">
        <v>402</v>
      </c>
      <c r="I31" s="35" t="s">
        <v>234</v>
      </c>
      <c r="J31" s="34" t="s">
        <v>176</v>
      </c>
      <c r="K31" s="35" t="s">
        <v>178</v>
      </c>
      <c r="L31" s="34" t="s">
        <v>176</v>
      </c>
      <c r="M31" s="34" t="s">
        <v>472</v>
      </c>
      <c r="N31" s="34" t="s">
        <v>473</v>
      </c>
      <c r="O31" s="34" t="s">
        <v>180</v>
      </c>
      <c r="P31" s="34" t="s">
        <v>499</v>
      </c>
      <c r="Q31" s="34" t="s">
        <v>234</v>
      </c>
      <c r="R31" s="35" t="s">
        <v>234</v>
      </c>
      <c r="S31" s="34" t="s">
        <v>234</v>
      </c>
      <c r="T31" s="34" t="s">
        <v>344</v>
      </c>
      <c r="U31" s="34" t="s">
        <v>210</v>
      </c>
      <c r="V31" s="34" t="s">
        <v>316</v>
      </c>
      <c r="W31" s="34" t="s">
        <v>777</v>
      </c>
      <c r="X31" s="34" t="s">
        <v>347</v>
      </c>
      <c r="Y31" s="37" t="s">
        <v>344</v>
      </c>
      <c r="Z31" s="34" t="s">
        <v>177</v>
      </c>
      <c r="AA31" s="34" t="s">
        <v>177</v>
      </c>
      <c r="AB31" s="36">
        <v>46279</v>
      </c>
      <c r="AC31" s="36">
        <v>46409</v>
      </c>
      <c r="AD31" s="34" t="s">
        <v>228</v>
      </c>
      <c r="AE31" s="36">
        <v>46111</v>
      </c>
      <c r="AF31" s="36">
        <v>46142</v>
      </c>
      <c r="AJ31" s="59" t="s">
        <v>1211</v>
      </c>
    </row>
    <row r="32" spans="1:39" s="5" customFormat="1" ht="24" hidden="1" customHeight="1">
      <c r="A32" s="4" t="s">
        <v>73</v>
      </c>
      <c r="B32" s="45" t="s">
        <v>385</v>
      </c>
      <c r="C32" s="34" t="s">
        <v>100</v>
      </c>
      <c r="D32" s="34" t="s">
        <v>46</v>
      </c>
      <c r="E32" s="34" t="s">
        <v>47</v>
      </c>
      <c r="F32" s="34">
        <v>2</v>
      </c>
      <c r="G32" s="37" t="s">
        <v>420</v>
      </c>
      <c r="H32" s="35" t="s">
        <v>402</v>
      </c>
      <c r="I32" s="35" t="s">
        <v>234</v>
      </c>
      <c r="J32" s="34" t="s">
        <v>177</v>
      </c>
      <c r="K32" s="35" t="s">
        <v>178</v>
      </c>
      <c r="L32" s="34" t="s">
        <v>176</v>
      </c>
      <c r="M32" s="34" t="s">
        <v>182</v>
      </c>
      <c r="N32" s="34" t="s">
        <v>474</v>
      </c>
      <c r="O32" s="34" t="s">
        <v>514</v>
      </c>
      <c r="P32" s="34" t="s">
        <v>515</v>
      </c>
      <c r="Q32" s="34" t="s">
        <v>234</v>
      </c>
      <c r="R32" s="34" t="s">
        <v>566</v>
      </c>
      <c r="S32" s="34" t="s">
        <v>234</v>
      </c>
      <c r="T32" s="34" t="s">
        <v>661</v>
      </c>
      <c r="U32" s="34" t="s">
        <v>662</v>
      </c>
      <c r="V32" s="34" t="s">
        <v>776</v>
      </c>
      <c r="W32" s="34" t="s">
        <v>777</v>
      </c>
      <c r="X32" s="34"/>
      <c r="Y32" s="37" t="s">
        <v>662</v>
      </c>
      <c r="Z32" s="34" t="s">
        <v>177</v>
      </c>
      <c r="AA32" s="34" t="s">
        <v>177</v>
      </c>
      <c r="AB32" s="36">
        <v>46293</v>
      </c>
      <c r="AC32" s="36">
        <v>46430</v>
      </c>
      <c r="AD32" s="34" t="s">
        <v>265</v>
      </c>
      <c r="AE32" s="36">
        <v>46188</v>
      </c>
      <c r="AF32" s="36">
        <v>46208</v>
      </c>
      <c r="AJ32" s="59" t="s">
        <v>1212</v>
      </c>
    </row>
    <row r="33" spans="1:39" s="5" customFormat="1" ht="191.4">
      <c r="A33" s="4" t="s">
        <v>74</v>
      </c>
      <c r="B33" s="33" t="s">
        <v>362</v>
      </c>
      <c r="C33" s="35" t="s">
        <v>49</v>
      </c>
      <c r="D33" s="34" t="s">
        <v>275</v>
      </c>
      <c r="E33" s="34" t="s">
        <v>47</v>
      </c>
      <c r="F33" s="34">
        <v>6</v>
      </c>
      <c r="G33" s="54" t="s">
        <v>1193</v>
      </c>
      <c r="H33" s="35" t="s">
        <v>407</v>
      </c>
      <c r="I33" s="35" t="s">
        <v>234</v>
      </c>
      <c r="J33" s="34" t="s">
        <v>176</v>
      </c>
      <c r="K33" s="35" t="s">
        <v>178</v>
      </c>
      <c r="L33" s="34" t="s">
        <v>177</v>
      </c>
      <c r="M33" s="34">
        <v>2.5</v>
      </c>
      <c r="N33" s="34">
        <v>60</v>
      </c>
      <c r="O33" s="34">
        <v>500</v>
      </c>
      <c r="P33" s="34">
        <v>4.5</v>
      </c>
      <c r="Q33" s="34" t="s">
        <v>234</v>
      </c>
      <c r="R33" s="34" t="s">
        <v>539</v>
      </c>
      <c r="S33" s="34" t="s">
        <v>234</v>
      </c>
      <c r="T33" s="34" t="s">
        <v>277</v>
      </c>
      <c r="U33" s="34" t="s">
        <v>607</v>
      </c>
      <c r="V33" s="34">
        <v>15</v>
      </c>
      <c r="W33" s="34">
        <v>18</v>
      </c>
      <c r="X33" s="34"/>
      <c r="Y33" s="54" t="s">
        <v>1192</v>
      </c>
      <c r="Z33" s="34" t="s">
        <v>177</v>
      </c>
      <c r="AA33" s="34" t="s">
        <v>176</v>
      </c>
      <c r="AB33" s="36">
        <v>46246</v>
      </c>
      <c r="AC33" s="36">
        <v>46369</v>
      </c>
      <c r="AD33" s="34" t="s">
        <v>828</v>
      </c>
      <c r="AE33" s="36">
        <v>46204</v>
      </c>
      <c r="AF33" s="36">
        <v>46204</v>
      </c>
      <c r="AI33" s="5" t="s">
        <v>1173</v>
      </c>
      <c r="AJ33" s="59" t="s">
        <v>1209</v>
      </c>
      <c r="AK33" s="5" t="s">
        <v>1263</v>
      </c>
      <c r="AL33" s="5" t="s">
        <v>1263</v>
      </c>
      <c r="AM33" s="67" t="s">
        <v>1277</v>
      </c>
    </row>
    <row r="34" spans="1:39" s="5" customFormat="1" ht="156.6">
      <c r="A34" s="4" t="s">
        <v>75</v>
      </c>
      <c r="B34" s="33" t="s">
        <v>365</v>
      </c>
      <c r="C34" s="34" t="s">
        <v>49</v>
      </c>
      <c r="D34" s="34" t="s">
        <v>275</v>
      </c>
      <c r="E34" s="34" t="s">
        <v>47</v>
      </c>
      <c r="F34" s="34">
        <v>1</v>
      </c>
      <c r="G34" s="54" t="s">
        <v>1195</v>
      </c>
      <c r="H34" s="35" t="s">
        <v>402</v>
      </c>
      <c r="I34" s="35" t="s">
        <v>234</v>
      </c>
      <c r="J34" s="34" t="s">
        <v>177</v>
      </c>
      <c r="K34" s="35" t="s">
        <v>178</v>
      </c>
      <c r="L34" s="34" t="s">
        <v>177</v>
      </c>
      <c r="M34" s="34" t="s">
        <v>181</v>
      </c>
      <c r="N34" s="34">
        <v>71</v>
      </c>
      <c r="O34" s="34" t="s">
        <v>286</v>
      </c>
      <c r="P34" s="54" t="s">
        <v>1194</v>
      </c>
      <c r="Q34" s="34" t="s">
        <v>234</v>
      </c>
      <c r="R34" s="34" t="s">
        <v>286</v>
      </c>
      <c r="S34" s="34" t="s">
        <v>234</v>
      </c>
      <c r="T34" s="34" t="s">
        <v>610</v>
      </c>
      <c r="U34" s="34" t="s">
        <v>611</v>
      </c>
      <c r="V34" s="34">
        <v>12</v>
      </c>
      <c r="W34" s="34">
        <v>18</v>
      </c>
      <c r="X34" s="34"/>
      <c r="Y34" s="34" t="s">
        <v>723</v>
      </c>
      <c r="Z34" s="34" t="s">
        <v>177</v>
      </c>
      <c r="AA34" s="34" t="s">
        <v>176</v>
      </c>
      <c r="AB34" s="36">
        <v>46258</v>
      </c>
      <c r="AC34" s="36">
        <v>46368</v>
      </c>
      <c r="AD34" s="34" t="s">
        <v>832</v>
      </c>
      <c r="AE34" s="36">
        <v>46113</v>
      </c>
      <c r="AF34" s="36">
        <v>46127</v>
      </c>
      <c r="AI34" s="5" t="s">
        <v>1173</v>
      </c>
      <c r="AJ34" s="59" t="s">
        <v>1210</v>
      </c>
      <c r="AK34" s="5" t="s">
        <v>1263</v>
      </c>
      <c r="AL34" s="5" t="s">
        <v>1263</v>
      </c>
      <c r="AM34" s="67" t="s">
        <v>1282</v>
      </c>
    </row>
    <row r="35" spans="1:39" s="5" customFormat="1" ht="24" hidden="1" customHeight="1">
      <c r="A35" s="4" t="s">
        <v>76</v>
      </c>
      <c r="B35" s="34" t="s">
        <v>268</v>
      </c>
      <c r="C35" s="35" t="s">
        <v>49</v>
      </c>
      <c r="D35" s="35" t="s">
        <v>275</v>
      </c>
      <c r="E35" s="34" t="s">
        <v>47</v>
      </c>
      <c r="F35" s="34">
        <v>2</v>
      </c>
      <c r="G35" s="40" t="s">
        <v>279</v>
      </c>
      <c r="H35" s="35" t="s">
        <v>402</v>
      </c>
      <c r="I35" s="35" t="s">
        <v>234</v>
      </c>
      <c r="J35" s="34" t="s">
        <v>177</v>
      </c>
      <c r="K35" s="35" t="s">
        <v>178</v>
      </c>
      <c r="L35" s="35" t="s">
        <v>177</v>
      </c>
      <c r="M35" s="34" t="s">
        <v>247</v>
      </c>
      <c r="N35" s="34" t="s">
        <v>449</v>
      </c>
      <c r="O35" s="34" t="s">
        <v>329</v>
      </c>
      <c r="P35" s="34" t="s">
        <v>497</v>
      </c>
      <c r="Q35" s="34" t="s">
        <v>234</v>
      </c>
      <c r="R35" s="35" t="s">
        <v>329</v>
      </c>
      <c r="S35" s="34" t="s">
        <v>542</v>
      </c>
      <c r="T35" s="34" t="s">
        <v>612</v>
      </c>
      <c r="U35" s="40" t="s">
        <v>613</v>
      </c>
      <c r="V35" s="34" t="s">
        <v>724</v>
      </c>
      <c r="W35" s="34">
        <v>18</v>
      </c>
      <c r="X35" s="42" t="s">
        <v>725</v>
      </c>
      <c r="Y35" s="40" t="s">
        <v>726</v>
      </c>
      <c r="Z35" s="34" t="s">
        <v>177</v>
      </c>
      <c r="AA35" s="34" t="s">
        <v>177</v>
      </c>
      <c r="AB35" s="36">
        <v>46246</v>
      </c>
      <c r="AC35" s="36">
        <v>46003</v>
      </c>
      <c r="AD35" s="36" t="s">
        <v>833</v>
      </c>
      <c r="AE35" s="36">
        <v>46082</v>
      </c>
      <c r="AF35" s="36">
        <v>46096</v>
      </c>
    </row>
    <row r="36" spans="1:39" s="5" customFormat="1" ht="24" hidden="1" customHeight="1">
      <c r="A36" s="4" t="s">
        <v>78</v>
      </c>
      <c r="B36" s="35" t="s">
        <v>108</v>
      </c>
      <c r="C36" s="35" t="s">
        <v>49</v>
      </c>
      <c r="D36" s="35" t="s">
        <v>275</v>
      </c>
      <c r="E36" s="34" t="s">
        <v>54</v>
      </c>
      <c r="F36" s="34">
        <v>2</v>
      </c>
      <c r="G36" s="40" t="s">
        <v>278</v>
      </c>
      <c r="H36" s="35" t="s">
        <v>402</v>
      </c>
      <c r="I36" s="35" t="s">
        <v>234</v>
      </c>
      <c r="J36" s="34" t="s">
        <v>177</v>
      </c>
      <c r="K36" s="35" t="s">
        <v>178</v>
      </c>
      <c r="L36" s="35" t="s">
        <v>177</v>
      </c>
      <c r="M36" s="34" t="s">
        <v>278</v>
      </c>
      <c r="N36" s="35" t="s">
        <v>278</v>
      </c>
      <c r="O36" s="35" t="s">
        <v>278</v>
      </c>
      <c r="P36" s="35" t="s">
        <v>278</v>
      </c>
      <c r="Q36" s="34" t="s">
        <v>234</v>
      </c>
      <c r="R36" s="35" t="s">
        <v>278</v>
      </c>
      <c r="S36" s="35" t="s">
        <v>278</v>
      </c>
      <c r="T36" s="34" t="s">
        <v>278</v>
      </c>
      <c r="U36" s="41" t="s">
        <v>278</v>
      </c>
      <c r="V36" s="35">
        <v>12</v>
      </c>
      <c r="W36" s="35">
        <v>13</v>
      </c>
      <c r="X36" s="35" t="s">
        <v>278</v>
      </c>
      <c r="Y36" s="39" t="s">
        <v>278</v>
      </c>
      <c r="Z36" s="35" t="s">
        <v>177</v>
      </c>
      <c r="AA36" s="35" t="s">
        <v>177</v>
      </c>
      <c r="AB36" s="36">
        <v>46293</v>
      </c>
      <c r="AC36" s="36">
        <v>46367</v>
      </c>
      <c r="AD36" s="34" t="s">
        <v>835</v>
      </c>
      <c r="AE36" s="36">
        <v>46096</v>
      </c>
      <c r="AF36" s="36">
        <v>46113</v>
      </c>
    </row>
    <row r="37" spans="1:39" s="5" customFormat="1" ht="24" hidden="1" customHeight="1">
      <c r="A37" s="4" t="s">
        <v>80</v>
      </c>
      <c r="B37" s="33" t="s">
        <v>343</v>
      </c>
      <c r="C37" s="35" t="s">
        <v>49</v>
      </c>
      <c r="D37" s="34" t="s">
        <v>275</v>
      </c>
      <c r="E37" s="34" t="s">
        <v>47</v>
      </c>
      <c r="F37" s="34">
        <v>1</v>
      </c>
      <c r="G37" s="37" t="s">
        <v>345</v>
      </c>
      <c r="H37" s="35" t="s">
        <v>402</v>
      </c>
      <c r="I37" s="35" t="s">
        <v>234</v>
      </c>
      <c r="J37" s="34" t="s">
        <v>177</v>
      </c>
      <c r="K37" s="35" t="s">
        <v>178</v>
      </c>
      <c r="L37" s="34" t="s">
        <v>176</v>
      </c>
      <c r="M37" s="34">
        <v>2.75</v>
      </c>
      <c r="N37" s="34">
        <v>71</v>
      </c>
      <c r="O37" s="34" t="s">
        <v>256</v>
      </c>
      <c r="P37" s="34">
        <v>6</v>
      </c>
      <c r="Q37" s="34" t="s">
        <v>234</v>
      </c>
      <c r="R37" s="34" t="s">
        <v>557</v>
      </c>
      <c r="S37" s="34" t="s">
        <v>234</v>
      </c>
      <c r="T37" s="35" t="s">
        <v>346</v>
      </c>
      <c r="U37" s="34" t="s">
        <v>640</v>
      </c>
      <c r="V37" s="34">
        <v>12</v>
      </c>
      <c r="W37" s="34">
        <v>18</v>
      </c>
      <c r="X37" s="34"/>
      <c r="Y37" s="37" t="s">
        <v>764</v>
      </c>
      <c r="Z37" s="34" t="s">
        <v>177</v>
      </c>
      <c r="AA37" s="34" t="s">
        <v>176</v>
      </c>
      <c r="AB37" s="36">
        <v>46258</v>
      </c>
      <c r="AC37" s="36">
        <v>46374</v>
      </c>
      <c r="AD37" s="34" t="s">
        <v>228</v>
      </c>
      <c r="AE37" s="36">
        <v>46127</v>
      </c>
      <c r="AF37" s="36">
        <v>46174</v>
      </c>
    </row>
    <row r="38" spans="1:39" s="5" customFormat="1" ht="24" hidden="1" customHeight="1">
      <c r="A38" s="4" t="s">
        <v>81</v>
      </c>
      <c r="B38" s="33" t="s">
        <v>399</v>
      </c>
      <c r="C38" s="35" t="s">
        <v>49</v>
      </c>
      <c r="D38" s="34" t="s">
        <v>275</v>
      </c>
      <c r="E38" s="34" t="s">
        <v>47</v>
      </c>
      <c r="F38" s="34">
        <v>2</v>
      </c>
      <c r="G38" s="37" t="s">
        <v>196</v>
      </c>
      <c r="H38" s="35" t="s">
        <v>402</v>
      </c>
      <c r="I38" s="35" t="s">
        <v>234</v>
      </c>
      <c r="J38" s="34" t="s">
        <v>177</v>
      </c>
      <c r="K38" s="35" t="s">
        <v>283</v>
      </c>
      <c r="L38" s="34" t="s">
        <v>177</v>
      </c>
      <c r="M38" s="34" t="s">
        <v>186</v>
      </c>
      <c r="N38" s="34">
        <v>80</v>
      </c>
      <c r="O38" s="34" t="s">
        <v>285</v>
      </c>
      <c r="P38" s="34">
        <v>6.5</v>
      </c>
      <c r="Q38" s="34" t="s">
        <v>234</v>
      </c>
      <c r="R38" s="34" t="s">
        <v>197</v>
      </c>
      <c r="S38" s="34" t="s">
        <v>558</v>
      </c>
      <c r="T38" s="34" t="s">
        <v>641</v>
      </c>
      <c r="U38" s="34" t="s">
        <v>293</v>
      </c>
      <c r="V38" s="34">
        <v>12</v>
      </c>
      <c r="W38" s="34">
        <v>17</v>
      </c>
      <c r="X38" s="34" t="s">
        <v>765</v>
      </c>
      <c r="Y38" s="37" t="s">
        <v>766</v>
      </c>
      <c r="Z38" s="34" t="s">
        <v>177</v>
      </c>
      <c r="AA38" s="34" t="s">
        <v>176</v>
      </c>
      <c r="AB38" s="36">
        <v>46258</v>
      </c>
      <c r="AC38" s="36">
        <v>46373</v>
      </c>
      <c r="AD38" s="34" t="s">
        <v>851</v>
      </c>
      <c r="AE38" s="36">
        <v>46127</v>
      </c>
      <c r="AF38" s="36">
        <v>46143</v>
      </c>
    </row>
    <row r="39" spans="1:39" s="5" customFormat="1" ht="224.4">
      <c r="A39" s="4" t="s">
        <v>82</v>
      </c>
      <c r="B39" s="33" t="s">
        <v>382</v>
      </c>
      <c r="C39" s="34" t="s">
        <v>49</v>
      </c>
      <c r="D39" s="34" t="s">
        <v>275</v>
      </c>
      <c r="E39" s="34" t="s">
        <v>47</v>
      </c>
      <c r="F39" s="34">
        <v>2</v>
      </c>
      <c r="G39" s="54" t="s">
        <v>1196</v>
      </c>
      <c r="H39" s="35" t="s">
        <v>402</v>
      </c>
      <c r="I39" s="35" t="s">
        <v>234</v>
      </c>
      <c r="J39" s="34" t="s">
        <v>177</v>
      </c>
      <c r="K39" s="35" t="s">
        <v>178</v>
      </c>
      <c r="L39" s="34" t="s">
        <v>177</v>
      </c>
      <c r="M39" s="34">
        <v>2.7</v>
      </c>
      <c r="N39" s="34">
        <v>61</v>
      </c>
      <c r="O39" s="34">
        <v>460</v>
      </c>
      <c r="P39" s="34">
        <v>5.5</v>
      </c>
      <c r="Q39" s="34" t="s">
        <v>234</v>
      </c>
      <c r="R39" s="34" t="s">
        <v>180</v>
      </c>
      <c r="S39" s="34" t="s">
        <v>564</v>
      </c>
      <c r="T39" s="34" t="s">
        <v>653</v>
      </c>
      <c r="U39" s="34" t="s">
        <v>654</v>
      </c>
      <c r="V39" s="34">
        <v>12</v>
      </c>
      <c r="W39" s="34">
        <v>15</v>
      </c>
      <c r="X39" s="34" t="s">
        <v>778</v>
      </c>
      <c r="Y39" s="37" t="s">
        <v>779</v>
      </c>
      <c r="Z39" s="34" t="s">
        <v>177</v>
      </c>
      <c r="AA39" s="34" t="s">
        <v>176</v>
      </c>
      <c r="AB39" s="36">
        <v>46251</v>
      </c>
      <c r="AC39" s="36">
        <v>46367</v>
      </c>
      <c r="AD39" s="34" t="s">
        <v>858</v>
      </c>
      <c r="AE39" s="36">
        <v>46129</v>
      </c>
      <c r="AF39" s="36">
        <v>46136</v>
      </c>
      <c r="AI39" s="5" t="s">
        <v>1173</v>
      </c>
      <c r="AJ39" s="59" t="s">
        <v>1211</v>
      </c>
      <c r="AK39" s="5" t="s">
        <v>1263</v>
      </c>
      <c r="AL39" s="5" t="s">
        <v>1279</v>
      </c>
      <c r="AM39" s="67" t="s">
        <v>1278</v>
      </c>
    </row>
    <row r="40" spans="1:39" s="5" customFormat="1" ht="24" hidden="1" customHeight="1">
      <c r="A40" s="4" t="s">
        <v>83</v>
      </c>
      <c r="B40" s="35" t="s">
        <v>389</v>
      </c>
      <c r="C40" s="35" t="s">
        <v>49</v>
      </c>
      <c r="D40" s="35" t="s">
        <v>275</v>
      </c>
      <c r="E40" s="34" t="s">
        <v>47</v>
      </c>
      <c r="F40" s="34">
        <v>2</v>
      </c>
      <c r="G40" s="40" t="s">
        <v>423</v>
      </c>
      <c r="H40" s="35" t="s">
        <v>402</v>
      </c>
      <c r="I40" s="35" t="s">
        <v>234</v>
      </c>
      <c r="J40" s="35" t="s">
        <v>177</v>
      </c>
      <c r="K40" s="35" t="s">
        <v>283</v>
      </c>
      <c r="L40" s="35" t="s">
        <v>176</v>
      </c>
      <c r="M40" s="35" t="s">
        <v>478</v>
      </c>
      <c r="N40" s="35" t="s">
        <v>479</v>
      </c>
      <c r="O40" s="35" t="s">
        <v>519</v>
      </c>
      <c r="P40" s="35">
        <v>6.5</v>
      </c>
      <c r="Q40" s="34" t="s">
        <v>234</v>
      </c>
      <c r="R40" s="35" t="s">
        <v>570</v>
      </c>
      <c r="S40" s="34" t="s">
        <v>234</v>
      </c>
      <c r="T40" s="34" t="s">
        <v>669</v>
      </c>
      <c r="U40" s="34" t="s">
        <v>670</v>
      </c>
      <c r="V40" s="41" t="s">
        <v>792</v>
      </c>
      <c r="W40" s="34" t="s">
        <v>793</v>
      </c>
      <c r="X40" s="35" t="s">
        <v>423</v>
      </c>
      <c r="Y40" s="41" t="s">
        <v>423</v>
      </c>
      <c r="Z40" s="34" t="s">
        <v>177</v>
      </c>
      <c r="AA40" s="34" t="s">
        <v>176</v>
      </c>
      <c r="AB40" s="36">
        <v>46258</v>
      </c>
      <c r="AC40" s="36">
        <v>46363</v>
      </c>
      <c r="AD40" s="34" t="s">
        <v>866</v>
      </c>
      <c r="AE40" s="36">
        <v>46082</v>
      </c>
      <c r="AF40" s="36">
        <v>46096</v>
      </c>
    </row>
    <row r="41" spans="1:39" s="5" customFormat="1" ht="24" hidden="1" customHeight="1">
      <c r="A41" s="4" t="s">
        <v>84</v>
      </c>
      <c r="B41" s="34" t="s">
        <v>121</v>
      </c>
      <c r="C41" s="35" t="s">
        <v>49</v>
      </c>
      <c r="D41" s="34" t="s">
        <v>275</v>
      </c>
      <c r="E41" s="34" t="s">
        <v>47</v>
      </c>
      <c r="F41" s="34">
        <v>4</v>
      </c>
      <c r="G41" s="37"/>
      <c r="H41" s="35"/>
      <c r="I41" s="35" t="s">
        <v>234</v>
      </c>
      <c r="J41" s="34"/>
      <c r="K41" s="35"/>
      <c r="L41" s="35"/>
      <c r="M41" s="35"/>
      <c r="N41" s="35"/>
      <c r="O41" s="35"/>
      <c r="P41" s="35"/>
      <c r="Q41" s="34" t="s">
        <v>234</v>
      </c>
      <c r="R41" s="35" t="s">
        <v>234</v>
      </c>
      <c r="S41" s="34" t="s">
        <v>234</v>
      </c>
      <c r="T41" s="34"/>
      <c r="U41" s="34"/>
      <c r="V41" s="34"/>
      <c r="W41" s="34"/>
      <c r="X41" s="34"/>
      <c r="Y41" s="34"/>
      <c r="Z41" s="35"/>
      <c r="AA41" s="35"/>
      <c r="AB41" s="36"/>
      <c r="AC41" s="36"/>
      <c r="AD41" s="34"/>
      <c r="AE41" s="36"/>
      <c r="AF41" s="36"/>
    </row>
    <row r="42" spans="1:39" s="5" customFormat="1" ht="24" hidden="1" customHeight="1">
      <c r="A42" s="4" t="s">
        <v>85</v>
      </c>
      <c r="B42" s="34" t="s">
        <v>393</v>
      </c>
      <c r="C42" s="34" t="s">
        <v>49</v>
      </c>
      <c r="D42" s="34" t="s">
        <v>275</v>
      </c>
      <c r="E42" s="34" t="s">
        <v>54</v>
      </c>
      <c r="F42" s="34">
        <v>2</v>
      </c>
      <c r="G42" s="37" t="s">
        <v>426</v>
      </c>
      <c r="H42" s="35" t="s">
        <v>402</v>
      </c>
      <c r="I42" s="35" t="s">
        <v>234</v>
      </c>
      <c r="J42" s="34" t="s">
        <v>176</v>
      </c>
      <c r="K42" s="35" t="s">
        <v>178</v>
      </c>
      <c r="L42" s="34" t="s">
        <v>177</v>
      </c>
      <c r="M42" s="34" t="s">
        <v>182</v>
      </c>
      <c r="N42" s="34">
        <v>80</v>
      </c>
      <c r="O42" s="34" t="s">
        <v>193</v>
      </c>
      <c r="P42" s="34">
        <v>6.5</v>
      </c>
      <c r="Q42" s="34" t="s">
        <v>234</v>
      </c>
      <c r="R42" s="35" t="s">
        <v>234</v>
      </c>
      <c r="S42" s="34" t="s">
        <v>575</v>
      </c>
      <c r="T42" s="34" t="s">
        <v>676</v>
      </c>
      <c r="U42" s="34" t="s">
        <v>677</v>
      </c>
      <c r="V42" s="34" t="s">
        <v>800</v>
      </c>
      <c r="W42" s="34" t="s">
        <v>801</v>
      </c>
      <c r="X42" s="34" t="s">
        <v>802</v>
      </c>
      <c r="Y42" s="34" t="s">
        <v>803</v>
      </c>
      <c r="Z42" s="34" t="s">
        <v>177</v>
      </c>
      <c r="AA42" s="34" t="s">
        <v>177</v>
      </c>
      <c r="AB42" s="36">
        <v>46279</v>
      </c>
      <c r="AC42" s="36"/>
      <c r="AD42" s="34" t="s">
        <v>871</v>
      </c>
      <c r="AE42" s="36">
        <v>46127</v>
      </c>
      <c r="AF42" s="36">
        <v>46142</v>
      </c>
    </row>
    <row r="43" spans="1:39" s="5" customFormat="1" ht="191.4">
      <c r="A43" s="4" t="s">
        <v>86</v>
      </c>
      <c r="B43" s="33" t="s">
        <v>352</v>
      </c>
      <c r="C43" s="34" t="s">
        <v>147</v>
      </c>
      <c r="D43" s="34" t="s">
        <v>124</v>
      </c>
      <c r="E43" s="34" t="s">
        <v>47</v>
      </c>
      <c r="F43" s="34">
        <v>4</v>
      </c>
      <c r="G43" s="54" t="s">
        <v>1197</v>
      </c>
      <c r="H43" s="35" t="s">
        <v>402</v>
      </c>
      <c r="I43" s="35" t="s">
        <v>234</v>
      </c>
      <c r="J43" s="34" t="s">
        <v>177</v>
      </c>
      <c r="K43" s="35" t="s">
        <v>178</v>
      </c>
      <c r="L43" s="34" t="s">
        <v>177</v>
      </c>
      <c r="M43" s="34" t="s">
        <v>441</v>
      </c>
      <c r="N43" s="34" t="s">
        <v>441</v>
      </c>
      <c r="O43" s="34" t="s">
        <v>441</v>
      </c>
      <c r="P43" s="34" t="s">
        <v>441</v>
      </c>
      <c r="Q43" s="34" t="s">
        <v>234</v>
      </c>
      <c r="R43" s="34" t="s">
        <v>441</v>
      </c>
      <c r="S43" s="34" t="s">
        <v>441</v>
      </c>
      <c r="T43" s="34" t="s">
        <v>441</v>
      </c>
      <c r="U43" s="34" t="s">
        <v>585</v>
      </c>
      <c r="V43" s="34" t="s">
        <v>689</v>
      </c>
      <c r="W43" s="34" t="s">
        <v>690</v>
      </c>
      <c r="X43" s="34" t="s">
        <v>691</v>
      </c>
      <c r="Y43" s="37" t="s">
        <v>691</v>
      </c>
      <c r="Z43" s="34" t="s">
        <v>176</v>
      </c>
      <c r="AA43" s="34" t="s">
        <v>177</v>
      </c>
      <c r="AB43" s="36">
        <v>46285</v>
      </c>
      <c r="AC43" s="36">
        <v>46424</v>
      </c>
      <c r="AD43" s="34" t="s">
        <v>817</v>
      </c>
      <c r="AE43" s="36">
        <v>46127</v>
      </c>
      <c r="AF43" s="36">
        <v>46143</v>
      </c>
      <c r="AI43" s="5" t="s">
        <v>1173</v>
      </c>
      <c r="AJ43" s="59" t="s">
        <v>1212</v>
      </c>
      <c r="AK43" s="5" t="s">
        <v>1263</v>
      </c>
      <c r="AL43" s="5" t="s">
        <v>1263</v>
      </c>
      <c r="AM43" s="67" t="s">
        <v>1276</v>
      </c>
    </row>
    <row r="44" spans="1:39" s="5" customFormat="1" ht="313.2">
      <c r="A44" s="4" t="s">
        <v>87</v>
      </c>
      <c r="B44" s="35" t="s">
        <v>371</v>
      </c>
      <c r="C44" s="35" t="s">
        <v>147</v>
      </c>
      <c r="D44" s="35" t="s">
        <v>124</v>
      </c>
      <c r="E44" s="34" t="s">
        <v>47</v>
      </c>
      <c r="F44" s="35">
        <v>2</v>
      </c>
      <c r="G44" s="55" t="s">
        <v>1198</v>
      </c>
      <c r="H44" s="35" t="s">
        <v>402</v>
      </c>
      <c r="I44" s="35" t="s">
        <v>234</v>
      </c>
      <c r="J44" s="35" t="s">
        <v>177</v>
      </c>
      <c r="K44" s="35" t="s">
        <v>178</v>
      </c>
      <c r="L44" s="34" t="s">
        <v>177</v>
      </c>
      <c r="M44" s="34" t="s">
        <v>247</v>
      </c>
      <c r="N44" s="35" t="s">
        <v>453</v>
      </c>
      <c r="O44" s="34" t="s">
        <v>453</v>
      </c>
      <c r="P44" s="34" t="s">
        <v>453</v>
      </c>
      <c r="Q44" s="34" t="s">
        <v>234</v>
      </c>
      <c r="R44" s="34" t="s">
        <v>453</v>
      </c>
      <c r="S44" s="34" t="s">
        <v>547</v>
      </c>
      <c r="T44" s="34" t="s">
        <v>622</v>
      </c>
      <c r="U44" s="35" t="s">
        <v>623</v>
      </c>
      <c r="V44" s="35" t="s">
        <v>295</v>
      </c>
      <c r="W44" s="35" t="s">
        <v>739</v>
      </c>
      <c r="X44" s="35" t="s">
        <v>547</v>
      </c>
      <c r="Y44" s="41" t="s">
        <v>740</v>
      </c>
      <c r="Z44" s="34" t="s">
        <v>176</v>
      </c>
      <c r="AA44" s="35" t="s">
        <v>176</v>
      </c>
      <c r="AB44" s="36">
        <v>46279</v>
      </c>
      <c r="AC44" s="36">
        <v>46417</v>
      </c>
      <c r="AD44" s="34" t="s">
        <v>840</v>
      </c>
      <c r="AE44" s="36">
        <v>46143</v>
      </c>
      <c r="AF44" s="36">
        <v>46174</v>
      </c>
      <c r="AI44" s="5" t="s">
        <v>1173</v>
      </c>
      <c r="AJ44" s="59" t="s">
        <v>1213</v>
      </c>
      <c r="AK44" s="5" t="s">
        <v>1263</v>
      </c>
      <c r="AL44" s="5" t="s">
        <v>1281</v>
      </c>
      <c r="AM44" s="67" t="s">
        <v>1280</v>
      </c>
    </row>
    <row r="45" spans="1:39" s="5" customFormat="1" ht="24" hidden="1" customHeight="1">
      <c r="A45" s="4" t="s">
        <v>90</v>
      </c>
      <c r="B45" s="33" t="s">
        <v>380</v>
      </c>
      <c r="C45" s="35" t="s">
        <v>147</v>
      </c>
      <c r="D45" s="34" t="s">
        <v>124</v>
      </c>
      <c r="E45" s="34" t="s">
        <v>47</v>
      </c>
      <c r="F45" s="34">
        <v>1</v>
      </c>
      <c r="G45" s="37" t="s">
        <v>209</v>
      </c>
      <c r="H45" s="35" t="s">
        <v>402</v>
      </c>
      <c r="I45" s="35" t="s">
        <v>234</v>
      </c>
      <c r="J45" s="34" t="s">
        <v>177</v>
      </c>
      <c r="K45" s="35" t="s">
        <v>178</v>
      </c>
      <c r="L45" s="34" t="s">
        <v>176</v>
      </c>
      <c r="M45" s="34" t="s">
        <v>247</v>
      </c>
      <c r="N45" s="34" t="s">
        <v>287</v>
      </c>
      <c r="O45" s="34" t="s">
        <v>287</v>
      </c>
      <c r="P45" s="34" t="s">
        <v>287</v>
      </c>
      <c r="Q45" s="34" t="s">
        <v>234</v>
      </c>
      <c r="R45" s="34" t="s">
        <v>287</v>
      </c>
      <c r="S45" s="35" t="s">
        <v>287</v>
      </c>
      <c r="T45" s="34" t="s">
        <v>642</v>
      </c>
      <c r="U45" s="34" t="s">
        <v>329</v>
      </c>
      <c r="V45" s="34">
        <v>21</v>
      </c>
      <c r="W45" s="34">
        <v>30</v>
      </c>
      <c r="X45" s="34" t="s">
        <v>767</v>
      </c>
      <c r="Y45" s="37" t="s">
        <v>296</v>
      </c>
      <c r="Z45" s="34" t="s">
        <v>177</v>
      </c>
      <c r="AA45" s="34" t="s">
        <v>177</v>
      </c>
      <c r="AB45" s="36">
        <v>46063</v>
      </c>
      <c r="AC45" s="36">
        <v>46427</v>
      </c>
      <c r="AD45" s="34" t="s">
        <v>852</v>
      </c>
      <c r="AE45" s="36">
        <v>46360</v>
      </c>
      <c r="AF45" s="36">
        <v>46361</v>
      </c>
      <c r="AK45" s="59" t="s">
        <v>1208</v>
      </c>
    </row>
    <row r="46" spans="1:39" s="5" customFormat="1" ht="118.8">
      <c r="A46" s="4" t="s">
        <v>91</v>
      </c>
      <c r="B46" s="33" t="s">
        <v>358</v>
      </c>
      <c r="C46" s="35" t="s">
        <v>57</v>
      </c>
      <c r="D46" s="34" t="s">
        <v>237</v>
      </c>
      <c r="E46" s="34" t="s">
        <v>47</v>
      </c>
      <c r="F46" s="34">
        <v>3</v>
      </c>
      <c r="G46" s="37" t="s">
        <v>406</v>
      </c>
      <c r="H46" s="35" t="s">
        <v>402</v>
      </c>
      <c r="I46" s="35" t="s">
        <v>234</v>
      </c>
      <c r="J46" s="34" t="s">
        <v>176</v>
      </c>
      <c r="K46" s="35" t="s">
        <v>178</v>
      </c>
      <c r="L46" s="34" t="s">
        <v>177</v>
      </c>
      <c r="M46" s="34" t="s">
        <v>247</v>
      </c>
      <c r="N46" s="34" t="s">
        <v>445</v>
      </c>
      <c r="O46" s="34" t="s">
        <v>445</v>
      </c>
      <c r="P46" s="34" t="s">
        <v>445</v>
      </c>
      <c r="Q46" s="34" t="s">
        <v>234</v>
      </c>
      <c r="R46" s="34" t="s">
        <v>445</v>
      </c>
      <c r="S46" s="34" t="s">
        <v>535</v>
      </c>
      <c r="T46" s="34" t="s">
        <v>406</v>
      </c>
      <c r="U46" s="34" t="s">
        <v>176</v>
      </c>
      <c r="V46" s="34">
        <v>20</v>
      </c>
      <c r="W46" s="34">
        <v>30</v>
      </c>
      <c r="X46" s="34" t="s">
        <v>708</v>
      </c>
      <c r="Y46" s="37" t="s">
        <v>708</v>
      </c>
      <c r="Z46" s="34" t="s">
        <v>176</v>
      </c>
      <c r="AA46" s="34" t="s">
        <v>177</v>
      </c>
      <c r="AB46" s="36">
        <v>46235</v>
      </c>
      <c r="AC46" s="36">
        <v>46371</v>
      </c>
      <c r="AD46" s="34" t="s">
        <v>228</v>
      </c>
      <c r="AE46" s="36">
        <v>46136</v>
      </c>
      <c r="AF46" s="36">
        <v>46143</v>
      </c>
    </row>
    <row r="47" spans="1:39" s="5" customFormat="1" ht="409.6">
      <c r="A47" s="4" t="s">
        <v>92</v>
      </c>
      <c r="B47" s="33" t="s">
        <v>384</v>
      </c>
      <c r="C47" s="34" t="s">
        <v>57</v>
      </c>
      <c r="D47" s="34" t="s">
        <v>237</v>
      </c>
      <c r="E47" s="34" t="s">
        <v>47</v>
      </c>
      <c r="F47" s="34">
        <v>1</v>
      </c>
      <c r="G47" s="37" t="s">
        <v>419</v>
      </c>
      <c r="H47" s="35" t="s">
        <v>402</v>
      </c>
      <c r="I47" s="35" t="s">
        <v>234</v>
      </c>
      <c r="J47" s="34" t="s">
        <v>177</v>
      </c>
      <c r="K47" s="35" t="s">
        <v>178</v>
      </c>
      <c r="L47" s="34" t="s">
        <v>177</v>
      </c>
      <c r="M47" s="34" t="s">
        <v>247</v>
      </c>
      <c r="N47" s="34" t="s">
        <v>247</v>
      </c>
      <c r="O47" s="34" t="s">
        <v>247</v>
      </c>
      <c r="P47" s="34" t="s">
        <v>247</v>
      </c>
      <c r="Q47" s="34" t="s">
        <v>234</v>
      </c>
      <c r="R47" s="34" t="s">
        <v>341</v>
      </c>
      <c r="S47" s="34" t="s">
        <v>234</v>
      </c>
      <c r="T47" s="34" t="s">
        <v>658</v>
      </c>
      <c r="U47" s="34" t="s">
        <v>659</v>
      </c>
      <c r="V47" s="34">
        <v>20</v>
      </c>
      <c r="W47" s="34" t="s">
        <v>231</v>
      </c>
      <c r="X47" s="34"/>
      <c r="Y47" s="37" t="s">
        <v>785</v>
      </c>
      <c r="Z47" s="34" t="s">
        <v>176</v>
      </c>
      <c r="AA47" s="34" t="s">
        <v>176</v>
      </c>
      <c r="AB47" s="36">
        <v>46237</v>
      </c>
      <c r="AC47" s="36">
        <v>46361</v>
      </c>
      <c r="AD47" s="34" t="s">
        <v>231</v>
      </c>
      <c r="AE47" s="36">
        <v>46127</v>
      </c>
      <c r="AF47" s="36">
        <v>46127</v>
      </c>
    </row>
    <row r="48" spans="1:39" s="5" customFormat="1" ht="277.2">
      <c r="A48" s="4" t="s">
        <v>94</v>
      </c>
      <c r="B48" s="33" t="s">
        <v>270</v>
      </c>
      <c r="C48" s="34" t="s">
        <v>173</v>
      </c>
      <c r="D48" s="34" t="s">
        <v>124</v>
      </c>
      <c r="E48" s="34" t="s">
        <v>47</v>
      </c>
      <c r="F48" s="34">
        <v>2</v>
      </c>
      <c r="G48" s="54" t="s">
        <v>1300</v>
      </c>
      <c r="H48" s="35" t="s">
        <v>402</v>
      </c>
      <c r="I48" s="35" t="s">
        <v>234</v>
      </c>
      <c r="J48" s="34" t="s">
        <v>176</v>
      </c>
      <c r="K48" s="35" t="s">
        <v>178</v>
      </c>
      <c r="L48" s="34" t="s">
        <v>177</v>
      </c>
      <c r="M48" s="34" t="s">
        <v>247</v>
      </c>
      <c r="N48" s="34" t="s">
        <v>438</v>
      </c>
      <c r="O48" s="34" t="s">
        <v>489</v>
      </c>
      <c r="P48" s="34" t="s">
        <v>490</v>
      </c>
      <c r="Q48" s="34" t="s">
        <v>234</v>
      </c>
      <c r="R48" s="35" t="s">
        <v>234</v>
      </c>
      <c r="S48" s="34" t="s">
        <v>234</v>
      </c>
      <c r="T48" s="34" t="s">
        <v>583</v>
      </c>
      <c r="U48" s="34" t="s">
        <v>228</v>
      </c>
      <c r="V48" s="34">
        <v>30</v>
      </c>
      <c r="W48" s="34">
        <v>45</v>
      </c>
      <c r="X48" s="34" t="s">
        <v>687</v>
      </c>
      <c r="Y48" s="54" t="s">
        <v>1301</v>
      </c>
      <c r="Z48" s="34" t="s">
        <v>176</v>
      </c>
      <c r="AA48" s="34" t="s">
        <v>177</v>
      </c>
      <c r="AB48" s="36">
        <v>46258</v>
      </c>
      <c r="AC48" s="36">
        <v>46404</v>
      </c>
      <c r="AD48" s="34" t="s">
        <v>815</v>
      </c>
      <c r="AE48" s="36">
        <v>46137</v>
      </c>
      <c r="AF48" s="36">
        <v>46143</v>
      </c>
      <c r="AI48" s="5" t="s">
        <v>1303</v>
      </c>
      <c r="AJ48" s="84" t="s">
        <v>1302</v>
      </c>
    </row>
    <row r="49" spans="1:39" s="5" customFormat="1" ht="174">
      <c r="A49" s="4" t="s">
        <v>95</v>
      </c>
      <c r="B49" s="33" t="s">
        <v>1309</v>
      </c>
      <c r="C49" s="34" t="s">
        <v>173</v>
      </c>
      <c r="D49" s="34" t="s">
        <v>124</v>
      </c>
      <c r="E49" s="34" t="s">
        <v>47</v>
      </c>
      <c r="F49" s="34">
        <v>4</v>
      </c>
      <c r="G49" s="37" t="s">
        <v>430</v>
      </c>
      <c r="H49" s="35" t="s">
        <v>402</v>
      </c>
      <c r="I49" s="35" t="s">
        <v>234</v>
      </c>
      <c r="J49" s="34" t="s">
        <v>177</v>
      </c>
      <c r="K49" s="35" t="s">
        <v>178</v>
      </c>
      <c r="L49" s="34" t="s">
        <v>177</v>
      </c>
      <c r="M49" s="34" t="s">
        <v>247</v>
      </c>
      <c r="N49" s="34" t="s">
        <v>465</v>
      </c>
      <c r="O49" s="34" t="s">
        <v>510</v>
      </c>
      <c r="P49" s="34" t="s">
        <v>511</v>
      </c>
      <c r="Q49" s="34" t="s">
        <v>234</v>
      </c>
      <c r="R49" s="34" t="s">
        <v>231</v>
      </c>
      <c r="S49" s="34" t="s">
        <v>563</v>
      </c>
      <c r="T49" s="34" t="s">
        <v>650</v>
      </c>
      <c r="U49" s="34" t="s">
        <v>651</v>
      </c>
      <c r="V49" s="34">
        <v>30</v>
      </c>
      <c r="W49" s="34">
        <v>45</v>
      </c>
      <c r="X49" s="34"/>
      <c r="Y49" s="54" t="s">
        <v>1304</v>
      </c>
      <c r="Z49" s="34" t="s">
        <v>176</v>
      </c>
      <c r="AA49" s="34" t="s">
        <v>177</v>
      </c>
      <c r="AB49" s="36">
        <v>46251</v>
      </c>
      <c r="AC49" s="36">
        <v>46411</v>
      </c>
      <c r="AD49" s="34" t="s">
        <v>856</v>
      </c>
      <c r="AE49" s="36">
        <v>46127</v>
      </c>
      <c r="AF49" s="36">
        <v>46127</v>
      </c>
      <c r="AI49" s="5" t="s">
        <v>1303</v>
      </c>
      <c r="AJ49" s="5" t="s">
        <v>1305</v>
      </c>
    </row>
    <row r="50" spans="1:39" s="5" customFormat="1" ht="121.8">
      <c r="A50" s="4" t="s">
        <v>97</v>
      </c>
      <c r="B50" s="33" t="s">
        <v>387</v>
      </c>
      <c r="C50" s="34" t="s">
        <v>173</v>
      </c>
      <c r="D50" s="34" t="s">
        <v>124</v>
      </c>
      <c r="E50" s="34" t="s">
        <v>47</v>
      </c>
      <c r="F50" s="34">
        <v>2</v>
      </c>
      <c r="G50" s="37" t="s">
        <v>421</v>
      </c>
      <c r="H50" s="35" t="s">
        <v>402</v>
      </c>
      <c r="I50" s="35" t="s">
        <v>234</v>
      </c>
      <c r="J50" s="34" t="s">
        <v>177</v>
      </c>
      <c r="K50" s="35" t="s">
        <v>178</v>
      </c>
      <c r="L50" s="34" t="s">
        <v>177</v>
      </c>
      <c r="M50" s="34" t="s">
        <v>247</v>
      </c>
      <c r="N50" s="34" t="s">
        <v>247</v>
      </c>
      <c r="O50" s="34" t="s">
        <v>231</v>
      </c>
      <c r="P50" s="34" t="s">
        <v>247</v>
      </c>
      <c r="Q50" s="34" t="s">
        <v>234</v>
      </c>
      <c r="R50" s="34" t="s">
        <v>231</v>
      </c>
      <c r="S50" s="34" t="s">
        <v>569</v>
      </c>
      <c r="T50" s="34" t="s">
        <v>666</v>
      </c>
      <c r="U50" s="34" t="s">
        <v>667</v>
      </c>
      <c r="V50" s="34" t="s">
        <v>231</v>
      </c>
      <c r="W50" s="34" t="s">
        <v>790</v>
      </c>
      <c r="X50" s="34" t="s">
        <v>231</v>
      </c>
      <c r="Y50" s="54" t="s">
        <v>1306</v>
      </c>
      <c r="Z50" s="34" t="s">
        <v>176</v>
      </c>
      <c r="AA50" s="34" t="s">
        <v>177</v>
      </c>
      <c r="AB50" s="36">
        <v>46265</v>
      </c>
      <c r="AC50" s="36">
        <v>46404</v>
      </c>
      <c r="AD50" s="34" t="s">
        <v>231</v>
      </c>
      <c r="AE50" s="36">
        <v>46113</v>
      </c>
      <c r="AF50" s="36">
        <v>46127</v>
      </c>
      <c r="AI50" s="5" t="s">
        <v>1303</v>
      </c>
      <c r="AJ50" s="84" t="s">
        <v>1307</v>
      </c>
    </row>
    <row r="51" spans="1:39" s="5" customFormat="1" ht="409.6">
      <c r="A51" s="4" t="s">
        <v>98</v>
      </c>
      <c r="B51" s="33" t="s">
        <v>269</v>
      </c>
      <c r="C51" s="34" t="s">
        <v>173</v>
      </c>
      <c r="D51" s="34" t="s">
        <v>124</v>
      </c>
      <c r="E51" s="34" t="s">
        <v>47</v>
      </c>
      <c r="F51" s="34">
        <v>4</v>
      </c>
      <c r="G51" s="37" t="s">
        <v>230</v>
      </c>
      <c r="H51" s="35" t="s">
        <v>402</v>
      </c>
      <c r="I51" s="35" t="s">
        <v>234</v>
      </c>
      <c r="J51" s="34" t="s">
        <v>177</v>
      </c>
      <c r="K51" s="35" t="s">
        <v>178</v>
      </c>
      <c r="L51" s="34" t="s">
        <v>177</v>
      </c>
      <c r="M51" s="34" t="s">
        <v>247</v>
      </c>
      <c r="N51" s="34" t="s">
        <v>247</v>
      </c>
      <c r="O51" s="34" t="s">
        <v>234</v>
      </c>
      <c r="P51" s="34" t="s">
        <v>247</v>
      </c>
      <c r="Q51" s="34" t="s">
        <v>234</v>
      </c>
      <c r="R51" s="35" t="s">
        <v>234</v>
      </c>
      <c r="S51" s="34" t="s">
        <v>234</v>
      </c>
      <c r="T51" s="34" t="s">
        <v>673</v>
      </c>
      <c r="U51" s="34" t="s">
        <v>285</v>
      </c>
      <c r="V51" s="34">
        <v>30</v>
      </c>
      <c r="W51" s="34" t="s">
        <v>795</v>
      </c>
      <c r="X51" s="34" t="s">
        <v>796</v>
      </c>
      <c r="Y51" s="54" t="s">
        <v>1308</v>
      </c>
      <c r="Z51" s="34" t="s">
        <v>176</v>
      </c>
      <c r="AA51" s="34" t="s">
        <v>176</v>
      </c>
      <c r="AB51" s="36">
        <v>46251</v>
      </c>
      <c r="AC51" s="36">
        <v>46404</v>
      </c>
      <c r="AD51" s="34" t="s">
        <v>868</v>
      </c>
      <c r="AE51" s="36">
        <v>46127</v>
      </c>
      <c r="AF51" s="36">
        <v>46127</v>
      </c>
      <c r="AI51" s="5" t="s">
        <v>1303</v>
      </c>
      <c r="AJ51" s="5" t="s">
        <v>1310</v>
      </c>
    </row>
    <row r="52" spans="1:39" s="5" customFormat="1" ht="409.6">
      <c r="A52" s="4" t="s">
        <v>99</v>
      </c>
      <c r="B52" s="34" t="s">
        <v>350</v>
      </c>
      <c r="C52" s="34" t="s">
        <v>174</v>
      </c>
      <c r="D52" s="34" t="s">
        <v>124</v>
      </c>
      <c r="E52" s="34" t="s">
        <v>47</v>
      </c>
      <c r="F52" s="34">
        <v>3</v>
      </c>
      <c r="G52" s="40" t="s">
        <v>280</v>
      </c>
      <c r="H52" s="35" t="s">
        <v>402</v>
      </c>
      <c r="I52" s="35" t="s">
        <v>234</v>
      </c>
      <c r="J52" s="35" t="s">
        <v>177</v>
      </c>
      <c r="K52" s="35" t="s">
        <v>178</v>
      </c>
      <c r="L52" s="35" t="s">
        <v>177</v>
      </c>
      <c r="M52" s="34" t="s">
        <v>181</v>
      </c>
      <c r="N52" s="34" t="s">
        <v>288</v>
      </c>
      <c r="O52" s="34" t="s">
        <v>288</v>
      </c>
      <c r="P52" s="34" t="s">
        <v>288</v>
      </c>
      <c r="Q52" s="34" t="s">
        <v>234</v>
      </c>
      <c r="R52" s="34" t="s">
        <v>288</v>
      </c>
      <c r="S52" s="34" t="s">
        <v>234</v>
      </c>
      <c r="T52" s="34" t="s">
        <v>288</v>
      </c>
      <c r="U52" s="34" t="s">
        <v>254</v>
      </c>
      <c r="V52" s="34">
        <v>15</v>
      </c>
      <c r="W52" s="34">
        <v>30</v>
      </c>
      <c r="X52" s="34"/>
      <c r="Y52" s="42" t="s">
        <v>684</v>
      </c>
      <c r="Z52" s="35" t="s">
        <v>176</v>
      </c>
      <c r="AA52" s="35" t="s">
        <v>177</v>
      </c>
      <c r="AB52" s="36">
        <v>46272</v>
      </c>
      <c r="AC52" s="36">
        <v>46417</v>
      </c>
      <c r="AD52" s="34" t="s">
        <v>265</v>
      </c>
      <c r="AE52" s="36">
        <v>46096</v>
      </c>
      <c r="AF52" s="36">
        <v>46113</v>
      </c>
    </row>
    <row r="53" spans="1:39" s="5" customFormat="1" ht="409.6">
      <c r="A53" s="4" t="s">
        <v>101</v>
      </c>
      <c r="B53" s="34" t="s">
        <v>271</v>
      </c>
      <c r="C53" s="35" t="s">
        <v>174</v>
      </c>
      <c r="D53" s="35" t="s">
        <v>124</v>
      </c>
      <c r="E53" s="34" t="s">
        <v>47</v>
      </c>
      <c r="F53" s="34">
        <v>2</v>
      </c>
      <c r="G53" s="40" t="s">
        <v>281</v>
      </c>
      <c r="H53" s="35" t="s">
        <v>402</v>
      </c>
      <c r="I53" s="35" t="s">
        <v>234</v>
      </c>
      <c r="J53" s="35" t="s">
        <v>177</v>
      </c>
      <c r="K53" s="35" t="s">
        <v>178</v>
      </c>
      <c r="L53" s="34" t="s">
        <v>177</v>
      </c>
      <c r="M53" s="34" t="s">
        <v>454</v>
      </c>
      <c r="N53" s="34" t="s">
        <v>229</v>
      </c>
      <c r="O53" s="34" t="s">
        <v>229</v>
      </c>
      <c r="P53" s="34" t="s">
        <v>229</v>
      </c>
      <c r="Q53" s="34" t="s">
        <v>234</v>
      </c>
      <c r="R53" s="34" t="s">
        <v>229</v>
      </c>
      <c r="S53" s="34" t="s">
        <v>548</v>
      </c>
      <c r="T53" s="34" t="s">
        <v>624</v>
      </c>
      <c r="U53" s="34" t="s">
        <v>625</v>
      </c>
      <c r="V53" s="34">
        <v>15</v>
      </c>
      <c r="W53" s="34">
        <v>30</v>
      </c>
      <c r="X53" s="34"/>
      <c r="Y53" s="37" t="s">
        <v>741</v>
      </c>
      <c r="Z53" s="34" t="s">
        <v>177</v>
      </c>
      <c r="AA53" s="34" t="s">
        <v>177</v>
      </c>
      <c r="AB53" s="36">
        <v>46279</v>
      </c>
      <c r="AC53" s="36">
        <v>46424</v>
      </c>
      <c r="AD53" s="34" t="s">
        <v>841</v>
      </c>
      <c r="AE53" s="36">
        <v>46096</v>
      </c>
      <c r="AF53" s="36">
        <v>46117</v>
      </c>
    </row>
    <row r="54" spans="1:39" s="5" customFormat="1" ht="158.4">
      <c r="A54" s="4" t="s">
        <v>102</v>
      </c>
      <c r="B54" s="35" t="s">
        <v>381</v>
      </c>
      <c r="C54" s="34" t="s">
        <v>174</v>
      </c>
      <c r="D54" s="35" t="s">
        <v>124</v>
      </c>
      <c r="E54" s="35" t="s">
        <v>47</v>
      </c>
      <c r="F54" s="35">
        <v>1</v>
      </c>
      <c r="G54" s="35" t="s">
        <v>418</v>
      </c>
      <c r="H54" s="35" t="s">
        <v>402</v>
      </c>
      <c r="I54" s="35" t="s">
        <v>234</v>
      </c>
      <c r="J54" s="35" t="s">
        <v>176</v>
      </c>
      <c r="K54" s="35" t="s">
        <v>178</v>
      </c>
      <c r="L54" s="35" t="s">
        <v>177</v>
      </c>
      <c r="M54" s="34" t="s">
        <v>247</v>
      </c>
      <c r="N54" s="35">
        <v>72</v>
      </c>
      <c r="O54" s="35" t="s">
        <v>508</v>
      </c>
      <c r="P54" s="35">
        <v>6</v>
      </c>
      <c r="Q54" s="34" t="s">
        <v>234</v>
      </c>
      <c r="R54" s="35" t="s">
        <v>559</v>
      </c>
      <c r="S54" s="34" t="s">
        <v>234</v>
      </c>
      <c r="T54" s="34" t="s">
        <v>645</v>
      </c>
      <c r="U54" s="35" t="s">
        <v>646</v>
      </c>
      <c r="V54" s="34" t="s">
        <v>771</v>
      </c>
      <c r="W54" s="34" t="s">
        <v>772</v>
      </c>
      <c r="X54" s="35"/>
      <c r="Y54" s="34" t="s">
        <v>773</v>
      </c>
      <c r="Z54" s="35" t="s">
        <v>177</v>
      </c>
      <c r="AA54" s="35" t="s">
        <v>177</v>
      </c>
      <c r="AB54" s="36">
        <v>46272</v>
      </c>
      <c r="AC54" s="36">
        <v>46410</v>
      </c>
      <c r="AD54" s="36" t="s">
        <v>228</v>
      </c>
      <c r="AE54" s="36">
        <v>46172</v>
      </c>
      <c r="AF54" s="36">
        <v>46172</v>
      </c>
    </row>
    <row r="55" spans="1:39" s="5" customFormat="1" ht="250.8">
      <c r="A55" s="4" t="s">
        <v>103</v>
      </c>
      <c r="B55" s="33" t="s">
        <v>353</v>
      </c>
      <c r="C55" s="34" t="s">
        <v>132</v>
      </c>
      <c r="D55" s="34" t="s">
        <v>124</v>
      </c>
      <c r="E55" s="34" t="s">
        <v>47</v>
      </c>
      <c r="F55" s="34">
        <v>4</v>
      </c>
      <c r="G55" s="54" t="s">
        <v>1242</v>
      </c>
      <c r="H55" s="35" t="s">
        <v>402</v>
      </c>
      <c r="I55" s="35" t="s">
        <v>234</v>
      </c>
      <c r="J55" s="34" t="s">
        <v>176</v>
      </c>
      <c r="K55" s="35" t="s">
        <v>178</v>
      </c>
      <c r="L55" s="34" t="s">
        <v>177</v>
      </c>
      <c r="M55" s="34" t="s">
        <v>247</v>
      </c>
      <c r="N55" s="34" t="s">
        <v>880</v>
      </c>
      <c r="O55" s="34" t="s">
        <v>880</v>
      </c>
      <c r="P55" s="34" t="s">
        <v>880</v>
      </c>
      <c r="Q55" s="34" t="s">
        <v>234</v>
      </c>
      <c r="R55" s="34" t="s">
        <v>880</v>
      </c>
      <c r="S55" s="34" t="s">
        <v>234</v>
      </c>
      <c r="T55" s="34" t="s">
        <v>586</v>
      </c>
      <c r="U55" s="34" t="s">
        <v>587</v>
      </c>
      <c r="V55" s="34" t="s">
        <v>692</v>
      </c>
      <c r="W55" s="34" t="s">
        <v>693</v>
      </c>
      <c r="X55" s="34"/>
      <c r="Y55" s="37" t="s">
        <v>694</v>
      </c>
      <c r="Z55" s="34" t="s">
        <v>177</v>
      </c>
      <c r="AA55" s="34" t="s">
        <v>177</v>
      </c>
      <c r="AB55" s="36">
        <v>46270</v>
      </c>
      <c r="AC55" s="36">
        <v>46375</v>
      </c>
      <c r="AD55" s="37" t="s">
        <v>818</v>
      </c>
      <c r="AE55" s="36">
        <v>46147</v>
      </c>
      <c r="AF55" s="36">
        <v>46178</v>
      </c>
      <c r="AI55" s="5" t="s">
        <v>1173</v>
      </c>
      <c r="AJ55" s="57" t="s">
        <v>1243</v>
      </c>
      <c r="AK55" s="5" t="s">
        <v>1263</v>
      </c>
      <c r="AL55" s="5" t="s">
        <v>1293</v>
      </c>
      <c r="AM55" s="67" t="s">
        <v>1292</v>
      </c>
    </row>
    <row r="56" spans="1:39" s="5" customFormat="1" ht="139.19999999999999">
      <c r="A56" s="4" t="s">
        <v>104</v>
      </c>
      <c r="B56" s="33" t="s">
        <v>355</v>
      </c>
      <c r="C56" s="35" t="s">
        <v>132</v>
      </c>
      <c r="D56" s="34" t="s">
        <v>124</v>
      </c>
      <c r="E56" s="34" t="s">
        <v>47</v>
      </c>
      <c r="F56" s="34">
        <v>2</v>
      </c>
      <c r="G56" s="54" t="s">
        <v>1244</v>
      </c>
      <c r="H56" s="35" t="s">
        <v>402</v>
      </c>
      <c r="I56" s="35" t="s">
        <v>234</v>
      </c>
      <c r="J56" s="34" t="s">
        <v>177</v>
      </c>
      <c r="K56" s="35" t="s">
        <v>178</v>
      </c>
      <c r="L56" s="34" t="s">
        <v>177</v>
      </c>
      <c r="M56" s="34" t="s">
        <v>247</v>
      </c>
      <c r="N56" s="34">
        <v>80</v>
      </c>
      <c r="O56" s="34" t="s">
        <v>494</v>
      </c>
      <c r="P56" s="34">
        <v>5.5</v>
      </c>
      <c r="Q56" s="34" t="s">
        <v>234</v>
      </c>
      <c r="R56" s="34" t="s">
        <v>348</v>
      </c>
      <c r="S56" s="34" t="s">
        <v>348</v>
      </c>
      <c r="T56" s="34" t="s">
        <v>404</v>
      </c>
      <c r="U56" s="34" t="s">
        <v>592</v>
      </c>
      <c r="V56" s="34">
        <v>20</v>
      </c>
      <c r="W56" s="34">
        <v>30</v>
      </c>
      <c r="X56" s="34" t="s">
        <v>348</v>
      </c>
      <c r="Y56" s="37" t="s">
        <v>699</v>
      </c>
      <c r="Z56" s="34" t="s">
        <v>176</v>
      </c>
      <c r="AA56" s="34" t="s">
        <v>176</v>
      </c>
      <c r="AB56" s="36">
        <v>46268</v>
      </c>
      <c r="AC56" s="36">
        <v>46417</v>
      </c>
      <c r="AD56" s="34" t="s">
        <v>348</v>
      </c>
      <c r="AE56" s="36">
        <v>46143</v>
      </c>
      <c r="AF56" s="36">
        <v>46157</v>
      </c>
      <c r="AI56" s="5" t="s">
        <v>1173</v>
      </c>
      <c r="AJ56" s="57" t="s">
        <v>1245</v>
      </c>
      <c r="AK56" s="5" t="s">
        <v>1263</v>
      </c>
      <c r="AL56" s="5" t="s">
        <v>1279</v>
      </c>
      <c r="AM56" s="67" t="s">
        <v>1294</v>
      </c>
    </row>
    <row r="57" spans="1:39" s="5" customFormat="1" ht="224.4">
      <c r="A57" s="4" t="s">
        <v>105</v>
      </c>
      <c r="B57" s="33" t="s">
        <v>274</v>
      </c>
      <c r="C57" s="35" t="s">
        <v>132</v>
      </c>
      <c r="D57" s="34" t="s">
        <v>124</v>
      </c>
      <c r="E57" s="34" t="s">
        <v>47</v>
      </c>
      <c r="F57" s="34">
        <v>2</v>
      </c>
      <c r="G57" s="54" t="s">
        <v>1246</v>
      </c>
      <c r="H57" s="35" t="s">
        <v>402</v>
      </c>
      <c r="I57" s="35" t="s">
        <v>234</v>
      </c>
      <c r="J57" s="34" t="s">
        <v>177</v>
      </c>
      <c r="K57" s="35" t="s">
        <v>178</v>
      </c>
      <c r="L57" s="34" t="s">
        <v>177</v>
      </c>
      <c r="M57" s="34" t="s">
        <v>247</v>
      </c>
      <c r="N57" s="34" t="s">
        <v>444</v>
      </c>
      <c r="O57" s="34" t="s">
        <v>444</v>
      </c>
      <c r="P57" s="34" t="s">
        <v>444</v>
      </c>
      <c r="Q57" s="34" t="s">
        <v>234</v>
      </c>
      <c r="R57" s="34" t="s">
        <v>531</v>
      </c>
      <c r="S57" s="34" t="s">
        <v>234</v>
      </c>
      <c r="T57" s="34" t="s">
        <v>289</v>
      </c>
      <c r="U57" s="34" t="s">
        <v>593</v>
      </c>
      <c r="V57" s="34" t="s">
        <v>700</v>
      </c>
      <c r="W57" s="34" t="s">
        <v>701</v>
      </c>
      <c r="X57" s="34" t="s">
        <v>702</v>
      </c>
      <c r="Y57" s="37" t="s">
        <v>1247</v>
      </c>
      <c r="Z57" s="34" t="s">
        <v>176</v>
      </c>
      <c r="AA57" s="34" t="s">
        <v>176</v>
      </c>
      <c r="AB57" s="36">
        <v>46274</v>
      </c>
      <c r="AC57" s="36">
        <v>46408</v>
      </c>
      <c r="AD57" s="34" t="s">
        <v>822</v>
      </c>
      <c r="AE57" s="36">
        <v>46164</v>
      </c>
      <c r="AF57" s="36">
        <v>46188</v>
      </c>
    </row>
    <row r="58" spans="1:39" s="5" customFormat="1" ht="409.6">
      <c r="A58" s="4" t="s">
        <v>106</v>
      </c>
      <c r="B58" s="33" t="s">
        <v>272</v>
      </c>
      <c r="C58" s="35" t="s">
        <v>132</v>
      </c>
      <c r="D58" s="34" t="s">
        <v>124</v>
      </c>
      <c r="E58" s="34" t="s">
        <v>47</v>
      </c>
      <c r="F58" s="34">
        <v>2</v>
      </c>
      <c r="G58" s="54" t="s">
        <v>1248</v>
      </c>
      <c r="H58" s="35" t="s">
        <v>402</v>
      </c>
      <c r="I58" s="35" t="s">
        <v>234</v>
      </c>
      <c r="J58" s="34" t="s">
        <v>176</v>
      </c>
      <c r="K58" s="35" t="s">
        <v>178</v>
      </c>
      <c r="L58" s="34" t="s">
        <v>177</v>
      </c>
      <c r="M58" s="34" t="s">
        <v>247</v>
      </c>
      <c r="N58" s="34" t="s">
        <v>247</v>
      </c>
      <c r="O58" s="34" t="s">
        <v>247</v>
      </c>
      <c r="P58" s="34" t="s">
        <v>247</v>
      </c>
      <c r="Q58" s="34" t="s">
        <v>234</v>
      </c>
      <c r="R58" s="34" t="s">
        <v>231</v>
      </c>
      <c r="S58" s="34" t="s">
        <v>532</v>
      </c>
      <c r="T58" s="34" t="s">
        <v>282</v>
      </c>
      <c r="U58" s="34" t="s">
        <v>594</v>
      </c>
      <c r="V58" s="34" t="s">
        <v>703</v>
      </c>
      <c r="W58" s="34" t="s">
        <v>704</v>
      </c>
      <c r="X58" s="34" t="s">
        <v>180</v>
      </c>
      <c r="Y58" s="37" t="s">
        <v>705</v>
      </c>
      <c r="Z58" s="34" t="s">
        <v>176</v>
      </c>
      <c r="AA58" s="34" t="s">
        <v>176</v>
      </c>
      <c r="AB58" s="36">
        <v>46267</v>
      </c>
      <c r="AC58" s="36">
        <v>46430</v>
      </c>
      <c r="AD58" s="34" t="s">
        <v>823</v>
      </c>
      <c r="AE58" s="36">
        <v>46125</v>
      </c>
      <c r="AF58" s="36">
        <v>46222</v>
      </c>
      <c r="AI58" s="5" t="s">
        <v>1173</v>
      </c>
      <c r="AJ58" s="64" t="s">
        <v>1249</v>
      </c>
    </row>
    <row r="59" spans="1:39" s="5" customFormat="1" ht="171.6">
      <c r="A59" s="4" t="s">
        <v>107</v>
      </c>
      <c r="B59" s="33" t="s">
        <v>361</v>
      </c>
      <c r="C59" s="35" t="s">
        <v>132</v>
      </c>
      <c r="D59" s="34" t="s">
        <v>124</v>
      </c>
      <c r="E59" s="34" t="s">
        <v>47</v>
      </c>
      <c r="F59" s="34">
        <v>2</v>
      </c>
      <c r="G59" s="54" t="s">
        <v>1250</v>
      </c>
      <c r="H59" s="35" t="s">
        <v>402</v>
      </c>
      <c r="I59" s="35" t="s">
        <v>234</v>
      </c>
      <c r="J59" s="34" t="s">
        <v>176</v>
      </c>
      <c r="K59" s="35" t="s">
        <v>178</v>
      </c>
      <c r="L59" s="34" t="s">
        <v>177</v>
      </c>
      <c r="M59" s="34" t="s">
        <v>247</v>
      </c>
      <c r="N59" s="34" t="s">
        <v>247</v>
      </c>
      <c r="O59" s="34" t="s">
        <v>180</v>
      </c>
      <c r="P59" s="34" t="s">
        <v>180</v>
      </c>
      <c r="Q59" s="34" t="s">
        <v>234</v>
      </c>
      <c r="R59" s="34" t="s">
        <v>180</v>
      </c>
      <c r="S59" s="34" t="s">
        <v>180</v>
      </c>
      <c r="T59" s="34" t="s">
        <v>605</v>
      </c>
      <c r="U59" s="34" t="s">
        <v>606</v>
      </c>
      <c r="V59" s="34" t="s">
        <v>715</v>
      </c>
      <c r="W59" s="34" t="s">
        <v>715</v>
      </c>
      <c r="X59" s="34" t="s">
        <v>180</v>
      </c>
      <c r="Y59" s="37" t="s">
        <v>716</v>
      </c>
      <c r="Z59" s="34" t="s">
        <v>176</v>
      </c>
      <c r="AA59" s="34" t="s">
        <v>176</v>
      </c>
      <c r="AB59" s="36">
        <v>46034</v>
      </c>
      <c r="AC59" s="36">
        <v>46163</v>
      </c>
      <c r="AD59" s="34" t="s">
        <v>228</v>
      </c>
      <c r="AE59" s="36">
        <v>46143</v>
      </c>
      <c r="AF59" s="36">
        <v>46188</v>
      </c>
      <c r="AI59" s="5" t="s">
        <v>1173</v>
      </c>
      <c r="AJ59" s="57" t="s">
        <v>1251</v>
      </c>
      <c r="AK59" s="5" t="s">
        <v>1263</v>
      </c>
      <c r="AL59" s="5" t="s">
        <v>1291</v>
      </c>
      <c r="AM59" s="5" t="s">
        <v>1290</v>
      </c>
    </row>
    <row r="60" spans="1:39" s="5" customFormat="1" ht="139.19999999999999">
      <c r="A60" s="4" t="s">
        <v>109</v>
      </c>
      <c r="B60" s="35" t="s">
        <v>273</v>
      </c>
      <c r="C60" s="35" t="s">
        <v>132</v>
      </c>
      <c r="D60" s="35" t="s">
        <v>124</v>
      </c>
      <c r="E60" s="35" t="s">
        <v>47</v>
      </c>
      <c r="F60" s="34">
        <v>2</v>
      </c>
      <c r="G60" s="56" t="s">
        <v>1252</v>
      </c>
      <c r="H60" s="35" t="s">
        <v>402</v>
      </c>
      <c r="I60" s="35" t="s">
        <v>234</v>
      </c>
      <c r="J60" s="35" t="s">
        <v>177</v>
      </c>
      <c r="K60" s="34" t="s">
        <v>178</v>
      </c>
      <c r="L60" s="35" t="s">
        <v>177</v>
      </c>
      <c r="M60" s="34" t="s">
        <v>247</v>
      </c>
      <c r="N60" s="35" t="s">
        <v>451</v>
      </c>
      <c r="O60" s="35" t="s">
        <v>234</v>
      </c>
      <c r="P60" s="35" t="s">
        <v>498</v>
      </c>
      <c r="Q60" s="34" t="s">
        <v>234</v>
      </c>
      <c r="R60" s="35" t="s">
        <v>234</v>
      </c>
      <c r="S60" s="35" t="s">
        <v>545</v>
      </c>
      <c r="T60" s="34" t="s">
        <v>618</v>
      </c>
      <c r="U60" s="35" t="s">
        <v>619</v>
      </c>
      <c r="V60" s="35" t="s">
        <v>732</v>
      </c>
      <c r="W60" s="35" t="s">
        <v>733</v>
      </c>
      <c r="X60" s="35"/>
      <c r="Y60" s="35" t="s">
        <v>734</v>
      </c>
      <c r="Z60" s="35" t="s">
        <v>177</v>
      </c>
      <c r="AA60" s="35" t="s">
        <v>177</v>
      </c>
      <c r="AB60" s="36">
        <v>46275</v>
      </c>
      <c r="AC60" s="36">
        <v>46416</v>
      </c>
      <c r="AD60" s="36" t="s">
        <v>837</v>
      </c>
      <c r="AE60" s="36">
        <v>46188</v>
      </c>
      <c r="AF60" s="36">
        <v>46204</v>
      </c>
      <c r="AI60" s="5" t="s">
        <v>1173</v>
      </c>
      <c r="AJ60" s="65" t="s">
        <v>1253</v>
      </c>
      <c r="AK60" s="5" t="s">
        <v>1263</v>
      </c>
      <c r="AL60" s="5" t="s">
        <v>1289</v>
      </c>
      <c r="AM60" s="67" t="s">
        <v>1288</v>
      </c>
    </row>
    <row r="61" spans="1:39" s="5" customFormat="1" ht="139.19999999999999">
      <c r="A61" s="4" t="s">
        <v>110</v>
      </c>
      <c r="B61" s="33" t="s">
        <v>297</v>
      </c>
      <c r="C61" s="34" t="s">
        <v>132</v>
      </c>
      <c r="D61" s="34" t="s">
        <v>124</v>
      </c>
      <c r="E61" s="34" t="s">
        <v>47</v>
      </c>
      <c r="F61" s="34">
        <v>2</v>
      </c>
      <c r="G61" s="54" t="s">
        <v>1254</v>
      </c>
      <c r="H61" s="35" t="s">
        <v>402</v>
      </c>
      <c r="I61" s="35" t="s">
        <v>234</v>
      </c>
      <c r="J61" s="34" t="s">
        <v>176</v>
      </c>
      <c r="K61" s="35" t="s">
        <v>178</v>
      </c>
      <c r="L61" s="34" t="s">
        <v>177</v>
      </c>
      <c r="M61" s="34" t="s">
        <v>469</v>
      </c>
      <c r="N61" s="34">
        <v>70</v>
      </c>
      <c r="O61" s="34">
        <v>500</v>
      </c>
      <c r="P61" s="34">
        <v>5.5</v>
      </c>
      <c r="Q61" s="34" t="s">
        <v>234</v>
      </c>
      <c r="R61" s="34" t="s">
        <v>257</v>
      </c>
      <c r="S61" s="34" t="s">
        <v>234</v>
      </c>
      <c r="T61" s="34" t="s">
        <v>304</v>
      </c>
      <c r="U61" s="34" t="s">
        <v>657</v>
      </c>
      <c r="V61" s="34">
        <v>15</v>
      </c>
      <c r="W61" s="34">
        <v>31.5</v>
      </c>
      <c r="X61" s="34"/>
      <c r="Y61" s="34" t="s">
        <v>308</v>
      </c>
      <c r="Z61" s="34" t="s">
        <v>177</v>
      </c>
      <c r="AA61" s="34" t="s">
        <v>176</v>
      </c>
      <c r="AB61" s="36">
        <v>46269</v>
      </c>
      <c r="AC61" s="36">
        <v>46377</v>
      </c>
      <c r="AD61" s="34" t="s">
        <v>861</v>
      </c>
      <c r="AE61" s="36">
        <v>46157</v>
      </c>
      <c r="AF61" s="36">
        <v>46173</v>
      </c>
      <c r="AI61" s="5" t="s">
        <v>1173</v>
      </c>
      <c r="AJ61" s="57" t="s">
        <v>1255</v>
      </c>
      <c r="AK61" s="5" t="s">
        <v>1263</v>
      </c>
      <c r="AL61" s="5" t="s">
        <v>1263</v>
      </c>
      <c r="AM61" s="67" t="s">
        <v>1287</v>
      </c>
    </row>
    <row r="62" spans="1:39" s="5" customFormat="1" ht="24" hidden="1" customHeight="1">
      <c r="A62" s="4" t="s">
        <v>111</v>
      </c>
      <c r="B62" s="35" t="s">
        <v>298</v>
      </c>
      <c r="C62" s="34" t="s">
        <v>62</v>
      </c>
      <c r="D62" s="35" t="s">
        <v>46</v>
      </c>
      <c r="E62" s="34" t="s">
        <v>79</v>
      </c>
      <c r="F62" s="34">
        <v>1</v>
      </c>
      <c r="G62" s="39" t="s">
        <v>301</v>
      </c>
      <c r="H62" s="35" t="s">
        <v>402</v>
      </c>
      <c r="I62" s="35" t="s">
        <v>234</v>
      </c>
      <c r="J62" s="35" t="s">
        <v>177</v>
      </c>
      <c r="K62" s="35" t="s">
        <v>178</v>
      </c>
      <c r="L62" s="35" t="s">
        <v>177</v>
      </c>
      <c r="M62" s="34" t="s">
        <v>194</v>
      </c>
      <c r="N62" s="34" t="s">
        <v>247</v>
      </c>
      <c r="O62" s="35" t="s">
        <v>234</v>
      </c>
      <c r="P62" s="34" t="s">
        <v>247</v>
      </c>
      <c r="Q62" s="34" t="s">
        <v>234</v>
      </c>
      <c r="R62" s="35" t="s">
        <v>231</v>
      </c>
      <c r="S62" s="34" t="s">
        <v>234</v>
      </c>
      <c r="T62" s="35" t="s">
        <v>195</v>
      </c>
      <c r="U62" s="41" t="s">
        <v>635</v>
      </c>
      <c r="V62" s="35" t="s">
        <v>758</v>
      </c>
      <c r="W62" s="35" t="s">
        <v>759</v>
      </c>
      <c r="X62" s="35"/>
      <c r="Y62" s="39" t="s">
        <v>760</v>
      </c>
      <c r="Z62" s="35" t="s">
        <v>177</v>
      </c>
      <c r="AA62" s="34" t="s">
        <v>177</v>
      </c>
      <c r="AB62" s="36">
        <v>46279</v>
      </c>
      <c r="AC62" s="36">
        <v>46375</v>
      </c>
      <c r="AD62" s="34" t="s">
        <v>848</v>
      </c>
      <c r="AE62" s="36">
        <v>46137</v>
      </c>
      <c r="AF62" s="36">
        <v>46142</v>
      </c>
    </row>
    <row r="63" spans="1:39" s="5" customFormat="1" ht="24" hidden="1" customHeight="1">
      <c r="A63" s="4" t="s">
        <v>112</v>
      </c>
      <c r="B63" s="34" t="s">
        <v>61</v>
      </c>
      <c r="C63" s="35" t="s">
        <v>62</v>
      </c>
      <c r="D63" s="35" t="s">
        <v>46</v>
      </c>
      <c r="E63" s="34" t="s">
        <v>47</v>
      </c>
      <c r="F63" s="34">
        <v>3</v>
      </c>
      <c r="G63" s="40" t="s">
        <v>191</v>
      </c>
      <c r="H63" s="35" t="s">
        <v>402</v>
      </c>
      <c r="I63" s="35" t="s">
        <v>234</v>
      </c>
      <c r="J63" s="35" t="s">
        <v>177</v>
      </c>
      <c r="K63" s="35" t="s">
        <v>283</v>
      </c>
      <c r="L63" s="35" t="s">
        <v>177</v>
      </c>
      <c r="M63" s="34" t="s">
        <v>480</v>
      </c>
      <c r="N63" s="34" t="s">
        <v>481</v>
      </c>
      <c r="O63" s="34" t="s">
        <v>520</v>
      </c>
      <c r="P63" s="34" t="s">
        <v>521</v>
      </c>
      <c r="Q63" s="34" t="s">
        <v>234</v>
      </c>
      <c r="R63" s="35" t="s">
        <v>571</v>
      </c>
      <c r="S63" s="34" t="s">
        <v>572</v>
      </c>
      <c r="T63" s="34" t="s">
        <v>671</v>
      </c>
      <c r="U63" s="42" t="s">
        <v>672</v>
      </c>
      <c r="V63" s="42" t="s">
        <v>794</v>
      </c>
      <c r="W63" s="42" t="s">
        <v>794</v>
      </c>
      <c r="X63" s="34"/>
      <c r="Y63" s="40" t="s">
        <v>794</v>
      </c>
      <c r="Z63" s="35" t="s">
        <v>177</v>
      </c>
      <c r="AA63" s="35" t="s">
        <v>176</v>
      </c>
      <c r="AB63" s="36">
        <v>46245</v>
      </c>
      <c r="AC63" s="36">
        <v>46360</v>
      </c>
      <c r="AD63" s="34" t="s">
        <v>867</v>
      </c>
      <c r="AE63" s="35" t="s">
        <v>879</v>
      </c>
      <c r="AF63" s="36">
        <v>46111</v>
      </c>
    </row>
    <row r="64" spans="1:39" s="5" customFormat="1" ht="24" hidden="1" customHeight="1">
      <c r="A64" s="4" t="s">
        <v>113</v>
      </c>
      <c r="B64" s="33" t="s">
        <v>400</v>
      </c>
      <c r="C64" s="34" t="s">
        <v>127</v>
      </c>
      <c r="D64" s="34" t="s">
        <v>275</v>
      </c>
      <c r="E64" s="34" t="s">
        <v>47</v>
      </c>
      <c r="F64" s="34">
        <v>1</v>
      </c>
      <c r="G64" s="37" t="s">
        <v>431</v>
      </c>
      <c r="H64" s="35" t="s">
        <v>402</v>
      </c>
      <c r="I64" s="35" t="s">
        <v>234</v>
      </c>
      <c r="J64" s="34" t="s">
        <v>176</v>
      </c>
      <c r="K64" s="35" t="s">
        <v>177</v>
      </c>
      <c r="L64" s="34" t="s">
        <v>177</v>
      </c>
      <c r="M64" s="34">
        <v>3</v>
      </c>
      <c r="N64" s="34" t="s">
        <v>487</v>
      </c>
      <c r="O64" s="35" t="s">
        <v>309</v>
      </c>
      <c r="P64" s="34" t="s">
        <v>526</v>
      </c>
      <c r="Q64" s="34" t="s">
        <v>234</v>
      </c>
      <c r="R64" s="35" t="s">
        <v>234</v>
      </c>
      <c r="S64" s="34" t="s">
        <v>576</v>
      </c>
      <c r="T64" s="34" t="s">
        <v>680</v>
      </c>
      <c r="U64" s="34" t="s">
        <v>681</v>
      </c>
      <c r="V64" s="37" t="s">
        <v>808</v>
      </c>
      <c r="W64" s="37" t="s">
        <v>809</v>
      </c>
      <c r="X64" s="34"/>
      <c r="Y64" s="34" t="s">
        <v>231</v>
      </c>
      <c r="Z64" s="34" t="s">
        <v>176</v>
      </c>
      <c r="AA64" s="34" t="s">
        <v>176</v>
      </c>
      <c r="AB64" s="36">
        <v>46267</v>
      </c>
      <c r="AC64" s="36">
        <v>46378</v>
      </c>
      <c r="AD64" s="34" t="s">
        <v>873</v>
      </c>
      <c r="AE64" s="36">
        <v>46111</v>
      </c>
      <c r="AF64" s="36">
        <v>46172</v>
      </c>
    </row>
    <row r="65" spans="1:39" s="5" customFormat="1" ht="24" hidden="1" customHeight="1">
      <c r="A65" s="4" t="s">
        <v>114</v>
      </c>
      <c r="B65" s="34" t="s">
        <v>375</v>
      </c>
      <c r="C65" s="34" t="s">
        <v>134</v>
      </c>
      <c r="D65" s="35" t="s">
        <v>275</v>
      </c>
      <c r="E65" s="34" t="s">
        <v>47</v>
      </c>
      <c r="F65" s="34">
        <v>6</v>
      </c>
      <c r="G65" s="40" t="s">
        <v>414</v>
      </c>
      <c r="H65" s="35" t="s">
        <v>402</v>
      </c>
      <c r="I65" s="35" t="s">
        <v>234</v>
      </c>
      <c r="J65" s="35" t="s">
        <v>177</v>
      </c>
      <c r="K65" s="35" t="s">
        <v>178</v>
      </c>
      <c r="L65" s="35" t="s">
        <v>177</v>
      </c>
      <c r="M65" s="35" t="s">
        <v>460</v>
      </c>
      <c r="N65" s="42" t="s">
        <v>461</v>
      </c>
      <c r="O65" s="42" t="s">
        <v>504</v>
      </c>
      <c r="P65" s="42" t="s">
        <v>505</v>
      </c>
      <c r="Q65" s="34" t="s">
        <v>234</v>
      </c>
      <c r="R65" s="35" t="s">
        <v>551</v>
      </c>
      <c r="S65" s="34" t="s">
        <v>552</v>
      </c>
      <c r="T65" s="34" t="s">
        <v>633</v>
      </c>
      <c r="U65" s="34" t="s">
        <v>634</v>
      </c>
      <c r="V65" s="34" t="s">
        <v>754</v>
      </c>
      <c r="W65" s="34" t="s">
        <v>755</v>
      </c>
      <c r="X65" s="34" t="s">
        <v>756</v>
      </c>
      <c r="Y65" s="40" t="s">
        <v>757</v>
      </c>
      <c r="Z65" s="35" t="s">
        <v>177</v>
      </c>
      <c r="AA65" s="34" t="s">
        <v>177</v>
      </c>
      <c r="AB65" s="36">
        <v>46293</v>
      </c>
      <c r="AC65" s="36">
        <v>46424</v>
      </c>
      <c r="AD65" s="34" t="s">
        <v>847</v>
      </c>
      <c r="AE65" s="36">
        <v>46113</v>
      </c>
      <c r="AF65" s="36">
        <v>45808</v>
      </c>
    </row>
    <row r="66" spans="1:39" s="5" customFormat="1" ht="409.6">
      <c r="A66" s="4" t="s">
        <v>115</v>
      </c>
      <c r="B66" s="33" t="s">
        <v>354</v>
      </c>
      <c r="C66" s="34" t="s">
        <v>145</v>
      </c>
      <c r="D66" s="34" t="s">
        <v>124</v>
      </c>
      <c r="E66" s="34" t="s">
        <v>47</v>
      </c>
      <c r="F66" s="34">
        <v>2</v>
      </c>
      <c r="G66" s="37" t="s">
        <v>403</v>
      </c>
      <c r="H66" s="35" t="s">
        <v>402</v>
      </c>
      <c r="I66" s="35" t="s">
        <v>234</v>
      </c>
      <c r="J66" s="34" t="s">
        <v>177</v>
      </c>
      <c r="K66" s="35" t="s">
        <v>178</v>
      </c>
      <c r="L66" s="34" t="s">
        <v>177</v>
      </c>
      <c r="M66" s="34" t="s">
        <v>247</v>
      </c>
      <c r="N66" s="34" t="s">
        <v>442</v>
      </c>
      <c r="O66" s="34" t="s">
        <v>442</v>
      </c>
      <c r="P66" s="34" t="s">
        <v>442</v>
      </c>
      <c r="Q66" s="34" t="s">
        <v>234</v>
      </c>
      <c r="R66" s="34" t="s">
        <v>442</v>
      </c>
      <c r="S66" s="34" t="s">
        <v>234</v>
      </c>
      <c r="T66" s="34" t="s">
        <v>588</v>
      </c>
      <c r="U66" s="34" t="s">
        <v>589</v>
      </c>
      <c r="V66" s="34" t="s">
        <v>285</v>
      </c>
      <c r="W66" s="34" t="s">
        <v>184</v>
      </c>
      <c r="X66" s="34" t="s">
        <v>695</v>
      </c>
      <c r="Y66" s="37" t="s">
        <v>696</v>
      </c>
      <c r="Z66" s="34" t="s">
        <v>176</v>
      </c>
      <c r="AA66" s="34" t="s">
        <v>176</v>
      </c>
      <c r="AB66" s="36">
        <v>46267</v>
      </c>
      <c r="AC66" s="36">
        <v>46438</v>
      </c>
      <c r="AD66" s="34" t="s">
        <v>819</v>
      </c>
      <c r="AE66" s="36">
        <v>46113</v>
      </c>
      <c r="AF66" s="36">
        <v>46143</v>
      </c>
    </row>
    <row r="67" spans="1:39" s="5" customFormat="1" ht="132">
      <c r="A67" s="4" t="s">
        <v>116</v>
      </c>
      <c r="B67" s="33" t="s">
        <v>396</v>
      </c>
      <c r="C67" s="34" t="s">
        <v>170</v>
      </c>
      <c r="D67" s="34" t="s">
        <v>124</v>
      </c>
      <c r="E67" s="34" t="s">
        <v>47</v>
      </c>
      <c r="F67" s="34">
        <v>1</v>
      </c>
      <c r="G67" s="34" t="s">
        <v>302</v>
      </c>
      <c r="H67" s="35" t="s">
        <v>402</v>
      </c>
      <c r="I67" s="35" t="s">
        <v>234</v>
      </c>
      <c r="J67" s="34" t="s">
        <v>177</v>
      </c>
      <c r="K67" s="35" t="s">
        <v>178</v>
      </c>
      <c r="L67" s="34" t="s">
        <v>177</v>
      </c>
      <c r="M67" s="34" t="s">
        <v>324</v>
      </c>
      <c r="N67" s="34" t="s">
        <v>435</v>
      </c>
      <c r="O67" s="34" t="s">
        <v>435</v>
      </c>
      <c r="P67" s="34" t="s">
        <v>435</v>
      </c>
      <c r="Q67" s="34" t="s">
        <v>234</v>
      </c>
      <c r="R67" s="34" t="s">
        <v>435</v>
      </c>
      <c r="S67" s="34" t="s">
        <v>234</v>
      </c>
      <c r="T67" s="34" t="s">
        <v>578</v>
      </c>
      <c r="U67" s="34" t="s">
        <v>579</v>
      </c>
      <c r="V67" s="34" t="s">
        <v>265</v>
      </c>
      <c r="W67" s="34" t="s">
        <v>685</v>
      </c>
      <c r="X67" s="34"/>
      <c r="Y67" s="34" t="s">
        <v>686</v>
      </c>
      <c r="Z67" s="34" t="s">
        <v>176</v>
      </c>
      <c r="AA67" s="34" t="s">
        <v>176</v>
      </c>
      <c r="AB67" s="36">
        <v>46286</v>
      </c>
      <c r="AC67" s="36">
        <v>46446</v>
      </c>
      <c r="AD67" s="37" t="s">
        <v>812</v>
      </c>
      <c r="AE67" s="36">
        <v>46173</v>
      </c>
      <c r="AF67" s="36">
        <v>46203</v>
      </c>
    </row>
    <row r="68" spans="1:39" s="5" customFormat="1" ht="105.6">
      <c r="A68" s="4" t="s">
        <v>117</v>
      </c>
      <c r="B68" s="33" t="s">
        <v>397</v>
      </c>
      <c r="C68" s="35" t="s">
        <v>170</v>
      </c>
      <c r="D68" s="34" t="s">
        <v>124</v>
      </c>
      <c r="E68" s="34" t="s">
        <v>47</v>
      </c>
      <c r="F68" s="34">
        <v>2</v>
      </c>
      <c r="G68" s="37" t="s">
        <v>225</v>
      </c>
      <c r="H68" s="35" t="s">
        <v>402</v>
      </c>
      <c r="I68" s="35" t="s">
        <v>234</v>
      </c>
      <c r="J68" s="34" t="s">
        <v>177</v>
      </c>
      <c r="K68" s="35" t="s">
        <v>178</v>
      </c>
      <c r="L68" s="34" t="s">
        <v>177</v>
      </c>
      <c r="M68" s="34" t="s">
        <v>247</v>
      </c>
      <c r="N68" s="34" t="s">
        <v>447</v>
      </c>
      <c r="O68" s="34" t="s">
        <v>447</v>
      </c>
      <c r="P68" s="34" t="s">
        <v>447</v>
      </c>
      <c r="Q68" s="34" t="s">
        <v>234</v>
      </c>
      <c r="R68" s="34" t="s">
        <v>447</v>
      </c>
      <c r="S68" s="34" t="s">
        <v>234</v>
      </c>
      <c r="T68" s="34" t="s">
        <v>305</v>
      </c>
      <c r="U68" s="34" t="s">
        <v>228</v>
      </c>
      <c r="V68" s="34">
        <v>30</v>
      </c>
      <c r="W68" s="34">
        <v>12</v>
      </c>
      <c r="X68" s="34"/>
      <c r="Y68" s="37" t="s">
        <v>226</v>
      </c>
      <c r="Z68" s="34" t="s">
        <v>176</v>
      </c>
      <c r="AA68" s="34" t="s">
        <v>176</v>
      </c>
      <c r="AB68" s="36">
        <v>46279</v>
      </c>
      <c r="AC68" s="36">
        <v>46430</v>
      </c>
      <c r="AD68" s="34" t="s">
        <v>337</v>
      </c>
      <c r="AE68" s="36">
        <v>46173</v>
      </c>
      <c r="AF68" s="36">
        <v>46203</v>
      </c>
    </row>
    <row r="69" spans="1:39" s="5" customFormat="1" ht="24" hidden="1" customHeight="1">
      <c r="A69" s="4" t="s">
        <v>118</v>
      </c>
      <c r="B69" s="33" t="s">
        <v>383</v>
      </c>
      <c r="C69" s="34" t="s">
        <v>96</v>
      </c>
      <c r="D69" s="34" t="s">
        <v>46</v>
      </c>
      <c r="E69" s="34" t="s">
        <v>47</v>
      </c>
      <c r="F69" s="34">
        <v>2</v>
      </c>
      <c r="G69" s="37" t="s">
        <v>303</v>
      </c>
      <c r="H69" s="35" t="s">
        <v>402</v>
      </c>
      <c r="I69" s="35" t="s">
        <v>234</v>
      </c>
      <c r="J69" s="34" t="s">
        <v>177</v>
      </c>
      <c r="K69" s="35" t="s">
        <v>283</v>
      </c>
      <c r="L69" s="34" t="s">
        <v>177</v>
      </c>
      <c r="M69" s="34" t="s">
        <v>466</v>
      </c>
      <c r="N69" s="34" t="s">
        <v>467</v>
      </c>
      <c r="O69" s="34" t="s">
        <v>512</v>
      </c>
      <c r="P69" s="34" t="s">
        <v>513</v>
      </c>
      <c r="Q69" s="34" t="s">
        <v>234</v>
      </c>
      <c r="R69" s="35" t="s">
        <v>234</v>
      </c>
      <c r="S69" s="34" t="s">
        <v>234</v>
      </c>
      <c r="T69" s="34" t="s">
        <v>303</v>
      </c>
      <c r="U69" s="34" t="s">
        <v>655</v>
      </c>
      <c r="V69" s="34" t="s">
        <v>780</v>
      </c>
      <c r="W69" s="34" t="s">
        <v>781</v>
      </c>
      <c r="X69" s="34"/>
      <c r="Y69" s="37" t="s">
        <v>782</v>
      </c>
      <c r="Z69" s="34" t="s">
        <v>176</v>
      </c>
      <c r="AA69" s="34" t="s">
        <v>177</v>
      </c>
      <c r="AB69" s="36">
        <v>46258</v>
      </c>
      <c r="AC69" s="36">
        <v>46374</v>
      </c>
      <c r="AD69" s="34" t="s">
        <v>859</v>
      </c>
      <c r="AE69" s="36">
        <v>46096</v>
      </c>
      <c r="AF69" s="36">
        <v>46111</v>
      </c>
    </row>
    <row r="70" spans="1:39" s="5" customFormat="1" ht="132">
      <c r="A70" s="4" t="s">
        <v>119</v>
      </c>
      <c r="B70" s="34" t="s">
        <v>299</v>
      </c>
      <c r="C70" s="35" t="s">
        <v>300</v>
      </c>
      <c r="D70" s="34" t="s">
        <v>124</v>
      </c>
      <c r="E70" s="34" t="s">
        <v>47</v>
      </c>
      <c r="F70" s="34">
        <v>2</v>
      </c>
      <c r="G70" s="37" t="s">
        <v>211</v>
      </c>
      <c r="H70" s="35" t="s">
        <v>407</v>
      </c>
      <c r="I70" s="35" t="s">
        <v>234</v>
      </c>
      <c r="J70" s="35" t="s">
        <v>177</v>
      </c>
      <c r="K70" s="35" t="s">
        <v>178</v>
      </c>
      <c r="L70" s="35" t="s">
        <v>177</v>
      </c>
      <c r="M70" s="34" t="s">
        <v>247</v>
      </c>
      <c r="N70" s="34" t="s">
        <v>247</v>
      </c>
      <c r="O70" s="34" t="s">
        <v>247</v>
      </c>
      <c r="P70" s="34" t="s">
        <v>247</v>
      </c>
      <c r="Q70" s="34" t="s">
        <v>234</v>
      </c>
      <c r="R70" s="35" t="s">
        <v>234</v>
      </c>
      <c r="S70" s="34" t="s">
        <v>234</v>
      </c>
      <c r="T70" s="34" t="s">
        <v>306</v>
      </c>
      <c r="U70" s="34" t="s">
        <v>180</v>
      </c>
      <c r="V70" s="34">
        <v>15</v>
      </c>
      <c r="W70" s="34">
        <v>30</v>
      </c>
      <c r="X70" s="34" t="s">
        <v>180</v>
      </c>
      <c r="Y70" s="37" t="s">
        <v>212</v>
      </c>
      <c r="Z70" s="35" t="s">
        <v>177</v>
      </c>
      <c r="AA70" s="34" t="s">
        <v>176</v>
      </c>
      <c r="AB70" s="36">
        <v>46266</v>
      </c>
      <c r="AC70" s="36">
        <v>46418</v>
      </c>
      <c r="AD70" s="34" t="s">
        <v>228</v>
      </c>
      <c r="AE70" s="36">
        <v>46143</v>
      </c>
      <c r="AF70" s="36">
        <v>46143</v>
      </c>
    </row>
    <row r="71" spans="1:39" s="5" customFormat="1" ht="52.8">
      <c r="A71" s="4" t="s">
        <v>120</v>
      </c>
      <c r="B71" s="35" t="s">
        <v>366</v>
      </c>
      <c r="C71" s="35" t="s">
        <v>367</v>
      </c>
      <c r="D71" s="35" t="s">
        <v>237</v>
      </c>
      <c r="E71" s="35" t="s">
        <v>47</v>
      </c>
      <c r="F71" s="34">
        <v>2</v>
      </c>
      <c r="G71" s="39" t="s">
        <v>408</v>
      </c>
      <c r="H71" s="35" t="s">
        <v>402</v>
      </c>
      <c r="I71" s="35" t="s">
        <v>234</v>
      </c>
      <c r="J71" s="34" t="s">
        <v>176</v>
      </c>
      <c r="K71" s="35" t="s">
        <v>178</v>
      </c>
      <c r="L71" s="35" t="s">
        <v>177</v>
      </c>
      <c r="M71" s="34" t="s">
        <v>247</v>
      </c>
      <c r="N71" s="34" t="s">
        <v>247</v>
      </c>
      <c r="O71" s="34" t="s">
        <v>247</v>
      </c>
      <c r="P71" s="34" t="s">
        <v>247</v>
      </c>
      <c r="Q71" s="34" t="s">
        <v>234</v>
      </c>
      <c r="R71" s="35" t="s">
        <v>231</v>
      </c>
      <c r="S71" s="35" t="s">
        <v>543</v>
      </c>
      <c r="T71" s="35" t="s">
        <v>614</v>
      </c>
      <c r="U71" s="41" t="s">
        <v>210</v>
      </c>
      <c r="V71" s="35" t="s">
        <v>231</v>
      </c>
      <c r="W71" s="35" t="s">
        <v>231</v>
      </c>
      <c r="X71" s="35" t="s">
        <v>228</v>
      </c>
      <c r="Y71" s="39" t="s">
        <v>727</v>
      </c>
      <c r="Z71" s="35" t="s">
        <v>176</v>
      </c>
      <c r="AA71" s="35" t="s">
        <v>176</v>
      </c>
      <c r="AB71" s="36">
        <v>46244</v>
      </c>
      <c r="AC71" s="36">
        <v>46374</v>
      </c>
      <c r="AD71" s="34" t="s">
        <v>834</v>
      </c>
      <c r="AE71" s="36">
        <v>46112</v>
      </c>
      <c r="AF71" s="36">
        <v>46142</v>
      </c>
    </row>
    <row r="72" spans="1:39" s="5" customFormat="1" ht="24" hidden="1" customHeight="1">
      <c r="A72" s="4" t="s">
        <v>122</v>
      </c>
      <c r="B72" s="34" t="s">
        <v>44</v>
      </c>
      <c r="C72" s="34" t="s">
        <v>45</v>
      </c>
      <c r="D72" s="35" t="s">
        <v>46</v>
      </c>
      <c r="E72" s="34" t="s">
        <v>47</v>
      </c>
      <c r="F72" s="34">
        <v>1</v>
      </c>
      <c r="G72" s="40" t="s">
        <v>411</v>
      </c>
      <c r="H72" s="35" t="s">
        <v>402</v>
      </c>
      <c r="I72" s="35" t="s">
        <v>234</v>
      </c>
      <c r="J72" s="35" t="s">
        <v>177</v>
      </c>
      <c r="K72" s="35" t="s">
        <v>178</v>
      </c>
      <c r="L72" s="35" t="s">
        <v>177</v>
      </c>
      <c r="M72" s="34" t="s">
        <v>179</v>
      </c>
      <c r="N72" s="34">
        <v>70</v>
      </c>
      <c r="O72" s="35">
        <v>193</v>
      </c>
      <c r="P72" s="34">
        <v>6</v>
      </c>
      <c r="Q72" s="34" t="s">
        <v>234</v>
      </c>
      <c r="R72" s="35" t="s">
        <v>265</v>
      </c>
      <c r="S72" s="34" t="s">
        <v>265</v>
      </c>
      <c r="T72" s="34" t="s">
        <v>627</v>
      </c>
      <c r="U72" s="42" t="s">
        <v>285</v>
      </c>
      <c r="V72" s="42" t="s">
        <v>743</v>
      </c>
      <c r="W72" s="42" t="s">
        <v>744</v>
      </c>
      <c r="X72" s="34" t="s">
        <v>265</v>
      </c>
      <c r="Y72" s="40" t="s">
        <v>745</v>
      </c>
      <c r="Z72" s="35" t="s">
        <v>177</v>
      </c>
      <c r="AA72" s="34" t="s">
        <v>176</v>
      </c>
      <c r="AB72" s="36">
        <v>46251</v>
      </c>
      <c r="AC72" s="36">
        <v>46378</v>
      </c>
      <c r="AD72" s="34" t="s">
        <v>842</v>
      </c>
      <c r="AE72" s="36">
        <v>46143</v>
      </c>
      <c r="AF72" s="36">
        <v>46157</v>
      </c>
    </row>
    <row r="73" spans="1:39" s="5" customFormat="1" ht="24" hidden="1" customHeight="1">
      <c r="A73" s="4" t="s">
        <v>125</v>
      </c>
      <c r="B73" s="33" t="s">
        <v>364</v>
      </c>
      <c r="C73" s="34" t="s">
        <v>51</v>
      </c>
      <c r="D73" s="34" t="s">
        <v>275</v>
      </c>
      <c r="E73" s="34" t="s">
        <v>47</v>
      </c>
      <c r="F73" s="34">
        <v>1</v>
      </c>
      <c r="G73" s="37" t="s">
        <v>185</v>
      </c>
      <c r="H73" s="35" t="s">
        <v>402</v>
      </c>
      <c r="I73" s="35" t="s">
        <v>234</v>
      </c>
      <c r="J73" s="34" t="s">
        <v>176</v>
      </c>
      <c r="K73" s="35" t="s">
        <v>178</v>
      </c>
      <c r="L73" s="34" t="s">
        <v>177</v>
      </c>
      <c r="M73" s="34" t="s">
        <v>186</v>
      </c>
      <c r="N73" s="34" t="s">
        <v>187</v>
      </c>
      <c r="O73" s="34" t="s">
        <v>314</v>
      </c>
      <c r="P73" s="34" t="s">
        <v>188</v>
      </c>
      <c r="Q73" s="34" t="s">
        <v>234</v>
      </c>
      <c r="R73" s="34" t="s">
        <v>541</v>
      </c>
      <c r="S73" s="34" t="s">
        <v>234</v>
      </c>
      <c r="T73" s="34" t="s">
        <v>609</v>
      </c>
      <c r="U73" s="37" t="s">
        <v>189</v>
      </c>
      <c r="V73" s="34" t="s">
        <v>721</v>
      </c>
      <c r="W73" s="34" t="s">
        <v>722</v>
      </c>
      <c r="X73" s="34"/>
      <c r="Y73" s="37" t="s">
        <v>319</v>
      </c>
      <c r="Z73" s="34" t="s">
        <v>177</v>
      </c>
      <c r="AA73" s="34" t="s">
        <v>176</v>
      </c>
      <c r="AB73" s="36">
        <v>46267</v>
      </c>
      <c r="AC73" s="36">
        <v>46379</v>
      </c>
      <c r="AD73" s="34" t="s">
        <v>831</v>
      </c>
      <c r="AE73" s="36">
        <v>46083</v>
      </c>
      <c r="AF73" s="36">
        <v>46122</v>
      </c>
    </row>
    <row r="74" spans="1:39" s="5" customFormat="1" ht="158.4">
      <c r="A74" s="4" t="s">
        <v>126</v>
      </c>
      <c r="B74" s="35" t="s">
        <v>377</v>
      </c>
      <c r="C74" s="35" t="s">
        <v>51</v>
      </c>
      <c r="D74" s="35" t="s">
        <v>275</v>
      </c>
      <c r="E74" s="34" t="s">
        <v>79</v>
      </c>
      <c r="F74" s="34">
        <v>6</v>
      </c>
      <c r="G74" s="34" t="s">
        <v>416</v>
      </c>
      <c r="H74" s="35" t="s">
        <v>402</v>
      </c>
      <c r="I74" s="35" t="s">
        <v>234</v>
      </c>
      <c r="J74" s="35" t="s">
        <v>177</v>
      </c>
      <c r="K74" s="34" t="s">
        <v>178</v>
      </c>
      <c r="L74" s="35" t="s">
        <v>177</v>
      </c>
      <c r="M74" s="35" t="s">
        <v>462</v>
      </c>
      <c r="N74" s="42" t="s">
        <v>218</v>
      </c>
      <c r="O74" s="42" t="s">
        <v>218</v>
      </c>
      <c r="P74" s="42" t="s">
        <v>218</v>
      </c>
      <c r="Q74" s="34" t="s">
        <v>234</v>
      </c>
      <c r="R74" s="35" t="s">
        <v>234</v>
      </c>
      <c r="S74" s="34" t="s">
        <v>555</v>
      </c>
      <c r="T74" s="34" t="s">
        <v>638</v>
      </c>
      <c r="U74" s="34" t="s">
        <v>315</v>
      </c>
      <c r="V74" s="35" t="s">
        <v>762</v>
      </c>
      <c r="W74" s="35" t="s">
        <v>762</v>
      </c>
      <c r="X74" s="34"/>
      <c r="Y74" s="34" t="s">
        <v>315</v>
      </c>
      <c r="Z74" s="35" t="s">
        <v>177</v>
      </c>
      <c r="AA74" s="34" t="s">
        <v>176</v>
      </c>
      <c r="AB74" s="36">
        <v>46267</v>
      </c>
      <c r="AC74" s="36">
        <v>46379</v>
      </c>
      <c r="AD74" s="34" t="s">
        <v>850</v>
      </c>
      <c r="AE74" s="36">
        <v>46082</v>
      </c>
      <c r="AF74" s="36">
        <v>46106</v>
      </c>
    </row>
    <row r="75" spans="1:39" s="5" customFormat="1" ht="24" hidden="1" customHeight="1">
      <c r="A75" s="4" t="s">
        <v>128</v>
      </c>
      <c r="B75" s="33" t="s">
        <v>394</v>
      </c>
      <c r="C75" s="34" t="s">
        <v>51</v>
      </c>
      <c r="D75" s="34" t="s">
        <v>275</v>
      </c>
      <c r="E75" s="34" t="s">
        <v>79</v>
      </c>
      <c r="F75" s="34">
        <v>5</v>
      </c>
      <c r="G75" s="37" t="s">
        <v>427</v>
      </c>
      <c r="H75" s="35" t="s">
        <v>402</v>
      </c>
      <c r="I75" s="35" t="s">
        <v>234</v>
      </c>
      <c r="J75" s="34" t="s">
        <v>176</v>
      </c>
      <c r="K75" s="35" t="s">
        <v>178</v>
      </c>
      <c r="L75" s="34" t="s">
        <v>177</v>
      </c>
      <c r="M75" s="34" t="s">
        <v>247</v>
      </c>
      <c r="N75" s="34" t="s">
        <v>486</v>
      </c>
      <c r="O75" s="35" t="s">
        <v>285</v>
      </c>
      <c r="P75" s="34" t="s">
        <v>525</v>
      </c>
      <c r="Q75" s="34" t="s">
        <v>234</v>
      </c>
      <c r="R75" s="35" t="s">
        <v>234</v>
      </c>
      <c r="S75" s="34" t="s">
        <v>234</v>
      </c>
      <c r="T75" s="34" t="s">
        <v>678</v>
      </c>
      <c r="U75" s="34" t="s">
        <v>679</v>
      </c>
      <c r="V75" s="34" t="s">
        <v>804</v>
      </c>
      <c r="W75" s="34" t="s">
        <v>805</v>
      </c>
      <c r="X75" s="34" t="s">
        <v>806</v>
      </c>
      <c r="Y75" s="37" t="s">
        <v>807</v>
      </c>
      <c r="Z75" s="34" t="s">
        <v>177</v>
      </c>
      <c r="AA75" s="34" t="s">
        <v>177</v>
      </c>
      <c r="AB75" s="36">
        <v>46274</v>
      </c>
      <c r="AC75" s="36">
        <v>46376</v>
      </c>
      <c r="AD75" s="34" t="s">
        <v>872</v>
      </c>
      <c r="AE75" s="36">
        <v>46096</v>
      </c>
      <c r="AF75" s="36">
        <v>46112</v>
      </c>
    </row>
    <row r="76" spans="1:39" s="5" customFormat="1" ht="171.6">
      <c r="A76" s="4" t="s">
        <v>131</v>
      </c>
      <c r="B76" s="33" t="s">
        <v>310</v>
      </c>
      <c r="C76" s="35" t="s">
        <v>311</v>
      </c>
      <c r="D76" s="34" t="s">
        <v>124</v>
      </c>
      <c r="E76" s="34" t="s">
        <v>47</v>
      </c>
      <c r="F76" s="34">
        <v>1</v>
      </c>
      <c r="G76" s="37" t="s">
        <v>313</v>
      </c>
      <c r="H76" s="35" t="s">
        <v>402</v>
      </c>
      <c r="I76" s="35" t="s">
        <v>234</v>
      </c>
      <c r="J76" s="34" t="s">
        <v>177</v>
      </c>
      <c r="K76" s="35" t="s">
        <v>178</v>
      </c>
      <c r="L76" s="34" t="s">
        <v>177</v>
      </c>
      <c r="M76" s="34" t="s">
        <v>247</v>
      </c>
      <c r="N76" s="34">
        <v>79</v>
      </c>
      <c r="O76" s="34" t="s">
        <v>203</v>
      </c>
      <c r="P76" s="34">
        <v>6</v>
      </c>
      <c r="Q76" s="34" t="s">
        <v>234</v>
      </c>
      <c r="R76" s="35" t="s">
        <v>234</v>
      </c>
      <c r="S76" s="34" t="s">
        <v>533</v>
      </c>
      <c r="T76" s="34" t="s">
        <v>595</v>
      </c>
      <c r="U76" s="34" t="s">
        <v>318</v>
      </c>
      <c r="V76" s="34" t="s">
        <v>231</v>
      </c>
      <c r="W76" s="34" t="s">
        <v>231</v>
      </c>
      <c r="X76" s="34"/>
      <c r="Y76" s="37" t="s">
        <v>320</v>
      </c>
      <c r="Z76" s="34" t="s">
        <v>176</v>
      </c>
      <c r="AA76" s="34" t="s">
        <v>177</v>
      </c>
      <c r="AB76" s="36">
        <v>46296</v>
      </c>
      <c r="AC76" s="36">
        <v>46437</v>
      </c>
      <c r="AD76" s="34" t="s">
        <v>321</v>
      </c>
      <c r="AE76" s="36">
        <v>46143</v>
      </c>
      <c r="AF76" s="36">
        <v>46157</v>
      </c>
    </row>
    <row r="77" spans="1:39" s="5" customFormat="1" ht="24" hidden="1" customHeight="1">
      <c r="A77" s="4" t="s">
        <v>133</v>
      </c>
      <c r="B77" s="35" t="s">
        <v>369</v>
      </c>
      <c r="C77" s="35" t="s">
        <v>312</v>
      </c>
      <c r="D77" s="35" t="s">
        <v>124</v>
      </c>
      <c r="E77" s="35" t="s">
        <v>47</v>
      </c>
      <c r="F77" s="34">
        <v>2</v>
      </c>
      <c r="G77" s="35" t="s">
        <v>410</v>
      </c>
      <c r="H77" s="35" t="s">
        <v>402</v>
      </c>
      <c r="I77" s="35" t="s">
        <v>234</v>
      </c>
      <c r="J77" s="35" t="s">
        <v>177</v>
      </c>
      <c r="K77" s="35" t="s">
        <v>178</v>
      </c>
      <c r="L77" s="35" t="s">
        <v>177</v>
      </c>
      <c r="M77" s="34" t="s">
        <v>247</v>
      </c>
      <c r="N77" s="35" t="s">
        <v>452</v>
      </c>
      <c r="O77" s="35" t="s">
        <v>452</v>
      </c>
      <c r="P77" s="35">
        <v>6.5</v>
      </c>
      <c r="Q77" s="34" t="s">
        <v>234</v>
      </c>
      <c r="R77" s="35" t="s">
        <v>234</v>
      </c>
      <c r="S77" s="34" t="s">
        <v>234</v>
      </c>
      <c r="T77" s="35" t="s">
        <v>620</v>
      </c>
      <c r="U77" s="35" t="s">
        <v>621</v>
      </c>
      <c r="V77" s="35" t="s">
        <v>735</v>
      </c>
      <c r="W77" s="35" t="s">
        <v>735</v>
      </c>
      <c r="X77" s="35"/>
      <c r="Y77" s="35" t="s">
        <v>736</v>
      </c>
      <c r="Z77" s="35" t="s">
        <v>177</v>
      </c>
      <c r="AA77" s="35" t="s">
        <v>176</v>
      </c>
      <c r="AB77" s="36">
        <v>46283</v>
      </c>
      <c r="AC77" s="36">
        <v>46374</v>
      </c>
      <c r="AD77" s="36" t="s">
        <v>228</v>
      </c>
      <c r="AE77" s="36">
        <v>46127</v>
      </c>
      <c r="AF77" s="36">
        <v>46157</v>
      </c>
    </row>
    <row r="78" spans="1:39" s="5" customFormat="1" ht="396">
      <c r="A78" s="4" t="s">
        <v>135</v>
      </c>
      <c r="B78" s="33" t="s">
        <v>357</v>
      </c>
      <c r="C78" s="35" t="s">
        <v>162</v>
      </c>
      <c r="D78" s="34" t="s">
        <v>124</v>
      </c>
      <c r="E78" s="34" t="s">
        <v>47</v>
      </c>
      <c r="F78" s="34">
        <v>5</v>
      </c>
      <c r="G78" s="54" t="s">
        <v>1218</v>
      </c>
      <c r="H78" s="35" t="s">
        <v>402</v>
      </c>
      <c r="I78" s="35" t="s">
        <v>234</v>
      </c>
      <c r="J78" s="34" t="s">
        <v>177</v>
      </c>
      <c r="K78" s="35" t="s">
        <v>178</v>
      </c>
      <c r="L78" s="34" t="s">
        <v>177</v>
      </c>
      <c r="M78" s="34" t="s">
        <v>247</v>
      </c>
      <c r="N78" s="34" t="s">
        <v>881</v>
      </c>
      <c r="O78" s="34" t="s">
        <v>881</v>
      </c>
      <c r="P78" s="34" t="s">
        <v>881</v>
      </c>
      <c r="Q78" s="34" t="s">
        <v>234</v>
      </c>
      <c r="R78" s="34" t="s">
        <v>881</v>
      </c>
      <c r="S78" s="34" t="s">
        <v>234</v>
      </c>
      <c r="T78" s="35" t="s">
        <v>597</v>
      </c>
      <c r="U78" s="34" t="s">
        <v>598</v>
      </c>
      <c r="V78" s="34">
        <v>20</v>
      </c>
      <c r="W78" s="34">
        <v>32</v>
      </c>
      <c r="X78" s="34" t="s">
        <v>707</v>
      </c>
      <c r="Y78" s="54" t="s">
        <v>1218</v>
      </c>
      <c r="Z78" s="34" t="s">
        <v>176</v>
      </c>
      <c r="AA78" s="34" t="s">
        <v>177</v>
      </c>
      <c r="AB78" s="36">
        <v>46266</v>
      </c>
      <c r="AC78" s="36">
        <v>46402</v>
      </c>
      <c r="AD78" s="34" t="s">
        <v>824</v>
      </c>
      <c r="AE78" s="36">
        <v>46127</v>
      </c>
      <c r="AF78" s="36">
        <v>46143</v>
      </c>
      <c r="AI78" s="5" t="s">
        <v>1173</v>
      </c>
      <c r="AJ78" s="61" t="s">
        <v>1219</v>
      </c>
      <c r="AK78" s="5" t="s">
        <v>1263</v>
      </c>
      <c r="AL78" s="5" t="s">
        <v>1299</v>
      </c>
      <c r="AM78" s="67" t="s">
        <v>1298</v>
      </c>
    </row>
    <row r="79" spans="1:39" s="5" customFormat="1" ht="409.6">
      <c r="A79" s="4" t="s">
        <v>136</v>
      </c>
      <c r="B79" s="33" t="s">
        <v>359</v>
      </c>
      <c r="C79" s="35" t="s">
        <v>162</v>
      </c>
      <c r="D79" s="34" t="s">
        <v>124</v>
      </c>
      <c r="E79" s="34" t="s">
        <v>47</v>
      </c>
      <c r="F79" s="34">
        <v>2</v>
      </c>
      <c r="G79" s="54" t="s">
        <v>1220</v>
      </c>
      <c r="H79" s="35" t="s">
        <v>402</v>
      </c>
      <c r="I79" s="35" t="s">
        <v>234</v>
      </c>
      <c r="J79" s="34" t="s">
        <v>177</v>
      </c>
      <c r="K79" s="35" t="s">
        <v>178</v>
      </c>
      <c r="L79" s="34" t="s">
        <v>177</v>
      </c>
      <c r="M79" s="34" t="s">
        <v>247</v>
      </c>
      <c r="N79" s="34">
        <v>72</v>
      </c>
      <c r="O79" s="34">
        <v>543</v>
      </c>
      <c r="P79" s="34">
        <v>5.5</v>
      </c>
      <c r="Q79" s="34" t="s">
        <v>234</v>
      </c>
      <c r="R79" s="35" t="s">
        <v>234</v>
      </c>
      <c r="S79" s="34" t="s">
        <v>234</v>
      </c>
      <c r="T79" s="34" t="s">
        <v>600</v>
      </c>
      <c r="U79" s="34" t="s">
        <v>601</v>
      </c>
      <c r="V79" s="34" t="s">
        <v>709</v>
      </c>
      <c r="W79" s="34" t="s">
        <v>214</v>
      </c>
      <c r="X79" s="34"/>
      <c r="Y79" s="34" t="s">
        <v>710</v>
      </c>
      <c r="Z79" s="34" t="s">
        <v>176</v>
      </c>
      <c r="AA79" s="34" t="s">
        <v>176</v>
      </c>
      <c r="AB79" s="36">
        <v>46260</v>
      </c>
      <c r="AC79" s="36">
        <v>46375</v>
      </c>
      <c r="AD79" s="34" t="s">
        <v>228</v>
      </c>
      <c r="AE79" s="36">
        <v>46157</v>
      </c>
      <c r="AF79" s="36">
        <v>46174</v>
      </c>
      <c r="AI79" s="5" t="s">
        <v>1173</v>
      </c>
      <c r="AJ79" s="57" t="s">
        <v>1221</v>
      </c>
      <c r="AK79" s="5" t="s">
        <v>1263</v>
      </c>
      <c r="AM79" s="67" t="s">
        <v>1266</v>
      </c>
    </row>
    <row r="80" spans="1:39" s="5" customFormat="1" ht="409.6">
      <c r="A80" s="4" t="s">
        <v>137</v>
      </c>
      <c r="B80" s="33" t="s">
        <v>360</v>
      </c>
      <c r="C80" s="35" t="s">
        <v>162</v>
      </c>
      <c r="D80" s="34" t="s">
        <v>124</v>
      </c>
      <c r="E80" s="34" t="s">
        <v>47</v>
      </c>
      <c r="F80" s="34">
        <v>2</v>
      </c>
      <c r="G80" s="54" t="s">
        <v>1222</v>
      </c>
      <c r="H80" s="35" t="s">
        <v>402</v>
      </c>
      <c r="I80" s="35" t="s">
        <v>234</v>
      </c>
      <c r="J80" s="34" t="s">
        <v>177</v>
      </c>
      <c r="K80" s="35" t="s">
        <v>178</v>
      </c>
      <c r="L80" s="34" t="s">
        <v>177</v>
      </c>
      <c r="M80" s="34" t="s">
        <v>247</v>
      </c>
      <c r="N80" s="34" t="s">
        <v>218</v>
      </c>
      <c r="O80" s="34" t="s">
        <v>218</v>
      </c>
      <c r="P80" s="34" t="s">
        <v>218</v>
      </c>
      <c r="Q80" s="34" t="s">
        <v>234</v>
      </c>
      <c r="R80" s="35" t="s">
        <v>234</v>
      </c>
      <c r="S80" s="34" t="s">
        <v>234</v>
      </c>
      <c r="T80" s="34" t="s">
        <v>602</v>
      </c>
      <c r="U80" s="34" t="s">
        <v>603</v>
      </c>
      <c r="V80" s="34" t="s">
        <v>711</v>
      </c>
      <c r="W80" s="34" t="s">
        <v>711</v>
      </c>
      <c r="X80" s="34"/>
      <c r="Y80" s="37" t="s">
        <v>712</v>
      </c>
      <c r="Z80" s="34" t="s">
        <v>176</v>
      </c>
      <c r="AA80" s="34" t="s">
        <v>176</v>
      </c>
      <c r="AB80" s="36">
        <v>46266</v>
      </c>
      <c r="AC80" s="36">
        <v>46387</v>
      </c>
      <c r="AD80" s="34" t="s">
        <v>826</v>
      </c>
      <c r="AE80" s="36">
        <v>46152</v>
      </c>
      <c r="AF80" s="36">
        <v>46162</v>
      </c>
      <c r="AI80" s="5" t="s">
        <v>1173</v>
      </c>
      <c r="AJ80" s="57" t="s">
        <v>1223</v>
      </c>
      <c r="AK80" s="5" t="s">
        <v>1263</v>
      </c>
      <c r="AM80" s="67" t="s">
        <v>1272</v>
      </c>
    </row>
    <row r="81" spans="1:39" s="5" customFormat="1" ht="145.19999999999999">
      <c r="A81" s="4" t="s">
        <v>138</v>
      </c>
      <c r="B81" s="33" t="s">
        <v>163</v>
      </c>
      <c r="C81" s="35" t="s">
        <v>162</v>
      </c>
      <c r="D81" s="34" t="s">
        <v>124</v>
      </c>
      <c r="E81" s="34" t="s">
        <v>47</v>
      </c>
      <c r="F81" s="34">
        <v>6</v>
      </c>
      <c r="G81" s="54" t="s">
        <v>1224</v>
      </c>
      <c r="H81" s="35" t="s">
        <v>402</v>
      </c>
      <c r="I81" s="35" t="s">
        <v>234</v>
      </c>
      <c r="J81" s="34" t="s">
        <v>177</v>
      </c>
      <c r="K81" s="35" t="s">
        <v>178</v>
      </c>
      <c r="L81" s="34" t="s">
        <v>177</v>
      </c>
      <c r="M81" s="34" t="s">
        <v>247</v>
      </c>
      <c r="N81" s="34">
        <v>79</v>
      </c>
      <c r="O81" s="35">
        <v>550</v>
      </c>
      <c r="P81" s="34">
        <v>6</v>
      </c>
      <c r="Q81" s="34" t="s">
        <v>234</v>
      </c>
      <c r="R81" s="34" t="s">
        <v>537</v>
      </c>
      <c r="S81" s="34" t="s">
        <v>538</v>
      </c>
      <c r="T81" s="54" t="s">
        <v>1225</v>
      </c>
      <c r="U81" s="34" t="s">
        <v>604</v>
      </c>
      <c r="V81" s="34" t="s">
        <v>713</v>
      </c>
      <c r="W81" s="34" t="s">
        <v>714</v>
      </c>
      <c r="X81" s="34"/>
      <c r="Y81" s="37" t="s">
        <v>217</v>
      </c>
      <c r="Z81" s="34" t="s">
        <v>176</v>
      </c>
      <c r="AA81" s="34" t="s">
        <v>176</v>
      </c>
      <c r="AB81" s="36">
        <v>46258</v>
      </c>
      <c r="AC81" s="36">
        <v>46375</v>
      </c>
      <c r="AD81" s="34" t="s">
        <v>827</v>
      </c>
      <c r="AE81" s="36">
        <v>46127</v>
      </c>
      <c r="AF81" s="36">
        <v>46157</v>
      </c>
      <c r="AI81" s="5" t="s">
        <v>1173</v>
      </c>
      <c r="AJ81" t="s">
        <v>1226</v>
      </c>
      <c r="AK81" s="5" t="s">
        <v>1263</v>
      </c>
      <c r="AL81" s="5" t="s">
        <v>1263</v>
      </c>
      <c r="AM81" s="67" t="s">
        <v>1273</v>
      </c>
    </row>
    <row r="82" spans="1:39" s="5" customFormat="1" ht="396">
      <c r="A82" s="4" t="s">
        <v>139</v>
      </c>
      <c r="B82" s="33" t="s">
        <v>363</v>
      </c>
      <c r="C82" s="35" t="s">
        <v>162</v>
      </c>
      <c r="D82" s="34" t="s">
        <v>124</v>
      </c>
      <c r="E82" s="34" t="s">
        <v>47</v>
      </c>
      <c r="F82" s="34">
        <v>10</v>
      </c>
      <c r="G82" s="54" t="s">
        <v>1227</v>
      </c>
      <c r="H82" s="35" t="s">
        <v>402</v>
      </c>
      <c r="I82" s="35" t="s">
        <v>234</v>
      </c>
      <c r="J82" s="34" t="s">
        <v>177</v>
      </c>
      <c r="K82" s="35" t="s">
        <v>178</v>
      </c>
      <c r="L82" s="34" t="s">
        <v>177</v>
      </c>
      <c r="M82" s="34" t="s">
        <v>247</v>
      </c>
      <c r="N82" s="34">
        <v>83</v>
      </c>
      <c r="O82" s="35" t="s">
        <v>231</v>
      </c>
      <c r="P82" s="34">
        <v>6</v>
      </c>
      <c r="Q82" s="34" t="s">
        <v>234</v>
      </c>
      <c r="R82" s="34" t="s">
        <v>203</v>
      </c>
      <c r="S82" s="34" t="s">
        <v>540</v>
      </c>
      <c r="T82" s="54" t="s">
        <v>1227</v>
      </c>
      <c r="U82" s="34" t="s">
        <v>254</v>
      </c>
      <c r="V82" s="34" t="s">
        <v>307</v>
      </c>
      <c r="W82" s="34" t="s">
        <v>717</v>
      </c>
      <c r="X82" s="34"/>
      <c r="Y82" s="37" t="s">
        <v>215</v>
      </c>
      <c r="Z82" s="34" t="s">
        <v>176</v>
      </c>
      <c r="AA82" s="34" t="s">
        <v>176</v>
      </c>
      <c r="AB82" s="36">
        <v>46266</v>
      </c>
      <c r="AC82" s="36">
        <v>46374</v>
      </c>
      <c r="AD82" s="34" t="s">
        <v>829</v>
      </c>
      <c r="AE82" s="36">
        <v>46127</v>
      </c>
      <c r="AF82" s="36">
        <v>46142</v>
      </c>
      <c r="AJ82"/>
      <c r="AK82" s="5" t="s">
        <v>1263</v>
      </c>
      <c r="AM82" s="67" t="s">
        <v>1275</v>
      </c>
    </row>
    <row r="83" spans="1:39" s="5" customFormat="1" ht="145.19999999999999">
      <c r="A83" s="4" t="s">
        <v>140</v>
      </c>
      <c r="B83" s="34" t="s">
        <v>398</v>
      </c>
      <c r="C83" s="35" t="s">
        <v>162</v>
      </c>
      <c r="D83" s="35" t="s">
        <v>124</v>
      </c>
      <c r="E83" s="34" t="s">
        <v>47</v>
      </c>
      <c r="F83" s="34">
        <v>2</v>
      </c>
      <c r="G83" s="55" t="s">
        <v>1228</v>
      </c>
      <c r="H83" s="35" t="s">
        <v>402</v>
      </c>
      <c r="I83" s="35" t="s">
        <v>234</v>
      </c>
      <c r="J83" s="35" t="s">
        <v>177</v>
      </c>
      <c r="K83" s="35" t="s">
        <v>178</v>
      </c>
      <c r="L83" s="34" t="s">
        <v>177</v>
      </c>
      <c r="M83" s="34" t="s">
        <v>247</v>
      </c>
      <c r="N83" s="34">
        <v>79</v>
      </c>
      <c r="O83" s="34">
        <v>543</v>
      </c>
      <c r="P83" s="34">
        <v>6</v>
      </c>
      <c r="Q83" s="34" t="s">
        <v>234</v>
      </c>
      <c r="R83" s="34" t="s">
        <v>254</v>
      </c>
      <c r="S83" s="34" t="s">
        <v>234</v>
      </c>
      <c r="T83" s="34" t="s">
        <v>429</v>
      </c>
      <c r="U83" s="34" t="s">
        <v>285</v>
      </c>
      <c r="V83" s="34" t="s">
        <v>208</v>
      </c>
      <c r="W83" s="34" t="s">
        <v>184</v>
      </c>
      <c r="X83" s="34"/>
      <c r="Y83" s="40" t="s">
        <v>429</v>
      </c>
      <c r="Z83" s="34" t="s">
        <v>176</v>
      </c>
      <c r="AA83" s="35" t="s">
        <v>176</v>
      </c>
      <c r="AB83" s="36">
        <v>46272</v>
      </c>
      <c r="AC83" s="36">
        <v>46374</v>
      </c>
      <c r="AD83" s="34" t="s">
        <v>228</v>
      </c>
      <c r="AE83" s="36">
        <v>46157</v>
      </c>
      <c r="AF83" s="36">
        <v>46174</v>
      </c>
      <c r="AI83" s="5" t="s">
        <v>1173</v>
      </c>
      <c r="AJ83" s="62" t="s">
        <v>1229</v>
      </c>
      <c r="AK83" s="5" t="s">
        <v>1263</v>
      </c>
      <c r="AL83" s="5" t="s">
        <v>1270</v>
      </c>
      <c r="AM83" s="67" t="s">
        <v>1269</v>
      </c>
    </row>
    <row r="84" spans="1:39" s="5" customFormat="1" ht="409.6">
      <c r="A84" s="4" t="s">
        <v>141</v>
      </c>
      <c r="B84" s="34" t="s">
        <v>165</v>
      </c>
      <c r="C84" s="34" t="s">
        <v>162</v>
      </c>
      <c r="D84" s="35" t="s">
        <v>124</v>
      </c>
      <c r="E84" s="34" t="s">
        <v>47</v>
      </c>
      <c r="F84" s="34">
        <v>10</v>
      </c>
      <c r="G84" s="54" t="s">
        <v>1230</v>
      </c>
      <c r="H84" s="35" t="s">
        <v>402</v>
      </c>
      <c r="I84" s="35" t="s">
        <v>234</v>
      </c>
      <c r="J84" s="35" t="s">
        <v>177</v>
      </c>
      <c r="K84" s="35" t="s">
        <v>178</v>
      </c>
      <c r="L84" s="34" t="s">
        <v>177</v>
      </c>
      <c r="M84" s="34" t="s">
        <v>327</v>
      </c>
      <c r="N84" s="34" t="s">
        <v>327</v>
      </c>
      <c r="O84" s="35" t="s">
        <v>327</v>
      </c>
      <c r="P84" s="34" t="s">
        <v>327</v>
      </c>
      <c r="Q84" s="34" t="s">
        <v>234</v>
      </c>
      <c r="R84" s="35" t="s">
        <v>332</v>
      </c>
      <c r="S84" s="34" t="s">
        <v>234</v>
      </c>
      <c r="T84" s="34" t="s">
        <v>631</v>
      </c>
      <c r="U84" s="34" t="s">
        <v>632</v>
      </c>
      <c r="V84" s="34" t="s">
        <v>751</v>
      </c>
      <c r="W84" s="34" t="s">
        <v>752</v>
      </c>
      <c r="X84" s="34"/>
      <c r="Y84" s="37" t="s">
        <v>1231</v>
      </c>
      <c r="Z84" s="35" t="s">
        <v>177</v>
      </c>
      <c r="AA84" s="35" t="s">
        <v>177</v>
      </c>
      <c r="AB84" s="36">
        <v>46266</v>
      </c>
      <c r="AC84" s="36">
        <v>46409</v>
      </c>
      <c r="AD84" s="34" t="s">
        <v>845</v>
      </c>
      <c r="AE84" s="36">
        <v>46101</v>
      </c>
      <c r="AF84" s="36">
        <v>46127</v>
      </c>
      <c r="AI84" s="5" t="s">
        <v>1173</v>
      </c>
      <c r="AJ84" s="5" t="s">
        <v>1271</v>
      </c>
      <c r="AK84" s="69"/>
    </row>
    <row r="85" spans="1:39" s="5" customFormat="1" ht="191.4">
      <c r="A85" s="4" t="s">
        <v>142</v>
      </c>
      <c r="B85" s="35" t="s">
        <v>164</v>
      </c>
      <c r="C85" s="35" t="s">
        <v>162</v>
      </c>
      <c r="D85" s="35" t="s">
        <v>124</v>
      </c>
      <c r="E85" s="34" t="s">
        <v>47</v>
      </c>
      <c r="F85" s="34">
        <v>1</v>
      </c>
      <c r="G85" s="58" t="s">
        <v>1232</v>
      </c>
      <c r="H85" s="35" t="s">
        <v>402</v>
      </c>
      <c r="I85" s="35" t="s">
        <v>234</v>
      </c>
      <c r="J85" s="34" t="s">
        <v>177</v>
      </c>
      <c r="K85" s="35" t="s">
        <v>178</v>
      </c>
      <c r="L85" s="35" t="s">
        <v>177</v>
      </c>
      <c r="M85" s="34" t="s">
        <v>247</v>
      </c>
      <c r="N85" s="34" t="s">
        <v>247</v>
      </c>
      <c r="O85" s="34" t="s">
        <v>247</v>
      </c>
      <c r="P85" s="34" t="s">
        <v>247</v>
      </c>
      <c r="Q85" s="34" t="s">
        <v>234</v>
      </c>
      <c r="R85" s="35" t="s">
        <v>553</v>
      </c>
      <c r="S85" s="34" t="s">
        <v>234</v>
      </c>
      <c r="T85" s="34" t="s">
        <v>636</v>
      </c>
      <c r="U85" s="41" t="s">
        <v>318</v>
      </c>
      <c r="V85" s="35">
        <v>30</v>
      </c>
      <c r="W85" s="35" t="s">
        <v>318</v>
      </c>
      <c r="X85" s="41"/>
      <c r="Y85" s="39" t="s">
        <v>761</v>
      </c>
      <c r="Z85" s="35" t="s">
        <v>177</v>
      </c>
      <c r="AA85" s="35" t="s">
        <v>176</v>
      </c>
      <c r="AB85" s="36">
        <v>46272</v>
      </c>
      <c r="AC85" s="36">
        <v>46374</v>
      </c>
      <c r="AD85" s="34" t="s">
        <v>265</v>
      </c>
      <c r="AE85" s="36">
        <v>46173</v>
      </c>
      <c r="AF85" s="36">
        <v>46203</v>
      </c>
      <c r="AI85" s="5" t="s">
        <v>1173</v>
      </c>
      <c r="AJ85" s="63" t="s">
        <v>1233</v>
      </c>
      <c r="AK85" s="5" t="s">
        <v>1263</v>
      </c>
      <c r="AM85" s="67" t="s">
        <v>1267</v>
      </c>
    </row>
    <row r="86" spans="1:39" s="5" customFormat="1" ht="24" hidden="1" customHeight="1">
      <c r="A86" s="4" t="s">
        <v>143</v>
      </c>
      <c r="B86" s="35" t="s">
        <v>378</v>
      </c>
      <c r="C86" s="35" t="s">
        <v>162</v>
      </c>
      <c r="D86" s="35" t="s">
        <v>124</v>
      </c>
      <c r="E86" s="34" t="s">
        <v>47</v>
      </c>
      <c r="F86" s="34">
        <v>2</v>
      </c>
      <c r="G86" s="37" t="s">
        <v>417</v>
      </c>
      <c r="H86" s="35" t="s">
        <v>402</v>
      </c>
      <c r="I86" s="35" t="s">
        <v>234</v>
      </c>
      <c r="J86" s="35" t="s">
        <v>176</v>
      </c>
      <c r="K86" s="35" t="s">
        <v>178</v>
      </c>
      <c r="L86" s="35" t="s">
        <v>176</v>
      </c>
      <c r="M86" s="34" t="s">
        <v>247</v>
      </c>
      <c r="N86" s="34">
        <v>80</v>
      </c>
      <c r="O86" s="35" t="s">
        <v>256</v>
      </c>
      <c r="P86" s="34">
        <v>6</v>
      </c>
      <c r="Q86" s="34" t="s">
        <v>234</v>
      </c>
      <c r="R86" s="35" t="s">
        <v>256</v>
      </c>
      <c r="S86" s="34" t="s">
        <v>556</v>
      </c>
      <c r="T86" s="34" t="s">
        <v>417</v>
      </c>
      <c r="U86" s="34" t="s">
        <v>639</v>
      </c>
      <c r="V86" s="34" t="s">
        <v>763</v>
      </c>
      <c r="W86" s="34" t="s">
        <v>184</v>
      </c>
      <c r="X86" s="34" t="s">
        <v>417</v>
      </c>
      <c r="Y86" s="37" t="s">
        <v>417</v>
      </c>
      <c r="Z86" s="35" t="s">
        <v>176</v>
      </c>
      <c r="AA86" s="35" t="s">
        <v>176</v>
      </c>
      <c r="AB86" s="36">
        <v>46260</v>
      </c>
      <c r="AC86" s="36">
        <v>46171</v>
      </c>
      <c r="AD86" s="34" t="s">
        <v>417</v>
      </c>
      <c r="AE86" s="36">
        <v>46113</v>
      </c>
      <c r="AF86" s="36">
        <v>46136</v>
      </c>
    </row>
    <row r="87" spans="1:39" s="5" customFormat="1" ht="237.6">
      <c r="A87" s="4" t="s">
        <v>144</v>
      </c>
      <c r="B87" s="45" t="s">
        <v>322</v>
      </c>
      <c r="C87" s="34" t="s">
        <v>162</v>
      </c>
      <c r="D87" s="34" t="s">
        <v>124</v>
      </c>
      <c r="E87" s="34" t="s">
        <v>47</v>
      </c>
      <c r="F87" s="34">
        <v>4</v>
      </c>
      <c r="G87" s="37" t="s">
        <v>1234</v>
      </c>
      <c r="H87" s="35" t="s">
        <v>402</v>
      </c>
      <c r="I87" s="35" t="s">
        <v>234</v>
      </c>
      <c r="J87" s="34" t="s">
        <v>177</v>
      </c>
      <c r="K87" s="35" t="s">
        <v>178</v>
      </c>
      <c r="L87" s="34" t="s">
        <v>177</v>
      </c>
      <c r="M87" s="34" t="s">
        <v>247</v>
      </c>
      <c r="N87" s="34" t="s">
        <v>464</v>
      </c>
      <c r="O87" s="34" t="s">
        <v>464</v>
      </c>
      <c r="P87" s="34" t="s">
        <v>464</v>
      </c>
      <c r="Q87" s="34" t="s">
        <v>234</v>
      </c>
      <c r="R87" s="34" t="s">
        <v>560</v>
      </c>
      <c r="S87" s="34" t="s">
        <v>561</v>
      </c>
      <c r="T87" s="34" t="s">
        <v>647</v>
      </c>
      <c r="U87" s="34" t="s">
        <v>648</v>
      </c>
      <c r="V87" s="34" t="s">
        <v>774</v>
      </c>
      <c r="W87" s="34" t="s">
        <v>184</v>
      </c>
      <c r="X87" s="34"/>
      <c r="Y87" s="54" t="s">
        <v>1235</v>
      </c>
      <c r="Z87" s="34" t="s">
        <v>177</v>
      </c>
      <c r="AA87" s="34" t="s">
        <v>176</v>
      </c>
      <c r="AB87" s="36">
        <v>46266</v>
      </c>
      <c r="AC87" s="36">
        <v>46416</v>
      </c>
      <c r="AD87" s="34" t="s">
        <v>854</v>
      </c>
      <c r="AE87" s="36">
        <v>46103</v>
      </c>
      <c r="AF87" s="36">
        <v>46134</v>
      </c>
    </row>
    <row r="88" spans="1:39" s="5" customFormat="1" ht="24" hidden="1" customHeight="1">
      <c r="A88" s="4" t="s">
        <v>146</v>
      </c>
      <c r="B88" s="33" t="s">
        <v>388</v>
      </c>
      <c r="C88" s="34" t="s">
        <v>162</v>
      </c>
      <c r="D88" s="34" t="s">
        <v>124</v>
      </c>
      <c r="E88" s="34" t="s">
        <v>47</v>
      </c>
      <c r="F88" s="34">
        <v>4</v>
      </c>
      <c r="G88" s="37" t="s">
        <v>422</v>
      </c>
      <c r="H88" s="35" t="s">
        <v>402</v>
      </c>
      <c r="I88" s="35" t="s">
        <v>234</v>
      </c>
      <c r="J88" s="34" t="s">
        <v>177</v>
      </c>
      <c r="K88" s="35" t="s">
        <v>178</v>
      </c>
      <c r="L88" s="34" t="s">
        <v>176</v>
      </c>
      <c r="M88" s="34" t="s">
        <v>247</v>
      </c>
      <c r="N88" s="34" t="s">
        <v>247</v>
      </c>
      <c r="O88" s="34" t="s">
        <v>234</v>
      </c>
      <c r="P88" s="34" t="s">
        <v>247</v>
      </c>
      <c r="Q88" s="34" t="s">
        <v>234</v>
      </c>
      <c r="R88" s="34" t="s">
        <v>234</v>
      </c>
      <c r="S88" s="34" t="s">
        <v>234</v>
      </c>
      <c r="T88" s="34" t="s">
        <v>668</v>
      </c>
      <c r="U88" s="34" t="s">
        <v>231</v>
      </c>
      <c r="V88" s="34">
        <v>15</v>
      </c>
      <c r="W88" s="34">
        <v>30</v>
      </c>
      <c r="X88" s="34"/>
      <c r="Y88" s="37" t="s">
        <v>791</v>
      </c>
      <c r="Z88" s="34" t="s">
        <v>176</v>
      </c>
      <c r="AA88" s="34" t="s">
        <v>176</v>
      </c>
      <c r="AB88" s="36">
        <v>46262</v>
      </c>
      <c r="AC88" s="36">
        <v>46367</v>
      </c>
      <c r="AD88" s="34" t="s">
        <v>865</v>
      </c>
      <c r="AE88" s="36">
        <v>46122</v>
      </c>
      <c r="AF88" s="36">
        <v>46155</v>
      </c>
    </row>
    <row r="89" spans="1:39" s="5" customFormat="1" ht="184.8">
      <c r="A89" s="4" t="s">
        <v>148</v>
      </c>
      <c r="B89" s="33" t="s">
        <v>390</v>
      </c>
      <c r="C89" s="34" t="s">
        <v>162</v>
      </c>
      <c r="D89" s="34" t="s">
        <v>124</v>
      </c>
      <c r="E89" s="34" t="s">
        <v>47</v>
      </c>
      <c r="F89" s="34">
        <v>2</v>
      </c>
      <c r="G89" s="54" t="s">
        <v>1236</v>
      </c>
      <c r="H89" s="35" t="s">
        <v>402</v>
      </c>
      <c r="I89" s="35" t="s">
        <v>234</v>
      </c>
      <c r="J89" s="34" t="s">
        <v>177</v>
      </c>
      <c r="K89" s="35" t="s">
        <v>178</v>
      </c>
      <c r="L89" s="34" t="s">
        <v>177</v>
      </c>
      <c r="M89" s="34" t="s">
        <v>247</v>
      </c>
      <c r="N89" s="34" t="s">
        <v>482</v>
      </c>
      <c r="O89" s="34" t="s">
        <v>522</v>
      </c>
      <c r="P89" s="34" t="s">
        <v>336</v>
      </c>
      <c r="Q89" s="34" t="s">
        <v>234</v>
      </c>
      <c r="R89" s="35" t="s">
        <v>234</v>
      </c>
      <c r="S89" s="34" t="s">
        <v>573</v>
      </c>
      <c r="T89" s="34" t="s">
        <v>216</v>
      </c>
      <c r="U89" s="37" t="s">
        <v>256</v>
      </c>
      <c r="V89" s="34" t="s">
        <v>797</v>
      </c>
      <c r="W89" s="34">
        <v>30</v>
      </c>
      <c r="X89" s="34" t="s">
        <v>798</v>
      </c>
      <c r="Y89" s="37" t="s">
        <v>216</v>
      </c>
      <c r="Z89" s="34" t="s">
        <v>176</v>
      </c>
      <c r="AA89" s="34" t="s">
        <v>176</v>
      </c>
      <c r="AB89" s="36">
        <v>46265</v>
      </c>
      <c r="AC89" s="36">
        <v>46402</v>
      </c>
      <c r="AD89" s="34" t="s">
        <v>869</v>
      </c>
      <c r="AE89" s="36">
        <v>46157</v>
      </c>
      <c r="AF89" s="36">
        <v>46173</v>
      </c>
      <c r="AI89" s="5" t="s">
        <v>1173</v>
      </c>
      <c r="AJ89" t="s">
        <v>1237</v>
      </c>
    </row>
    <row r="90" spans="1:39" s="5" customFormat="1" ht="224.4">
      <c r="A90" s="4" t="s">
        <v>149</v>
      </c>
      <c r="B90" s="33" t="s">
        <v>356</v>
      </c>
      <c r="C90" s="35" t="s">
        <v>161</v>
      </c>
      <c r="D90" s="34" t="s">
        <v>124</v>
      </c>
      <c r="E90" s="34" t="s">
        <v>47</v>
      </c>
      <c r="F90" s="34">
        <v>2</v>
      </c>
      <c r="G90" s="54" t="s">
        <v>1238</v>
      </c>
      <c r="H90" s="35" t="s">
        <v>402</v>
      </c>
      <c r="I90" s="35" t="s">
        <v>234</v>
      </c>
      <c r="J90" s="34" t="s">
        <v>177</v>
      </c>
      <c r="K90" s="35" t="s">
        <v>178</v>
      </c>
      <c r="L90" s="34" t="s">
        <v>177</v>
      </c>
      <c r="M90" s="34" t="s">
        <v>247</v>
      </c>
      <c r="N90" s="34">
        <v>79</v>
      </c>
      <c r="O90" s="34" t="s">
        <v>495</v>
      </c>
      <c r="P90" s="34">
        <v>6</v>
      </c>
      <c r="Q90" s="34" t="s">
        <v>234</v>
      </c>
      <c r="R90" s="34" t="s">
        <v>534</v>
      </c>
      <c r="S90" s="34" t="s">
        <v>180</v>
      </c>
      <c r="T90" s="34" t="s">
        <v>405</v>
      </c>
      <c r="U90" s="34" t="s">
        <v>596</v>
      </c>
      <c r="V90" s="34" t="s">
        <v>183</v>
      </c>
      <c r="W90" s="34" t="s">
        <v>220</v>
      </c>
      <c r="X90" s="34"/>
      <c r="Y90" s="37" t="s">
        <v>706</v>
      </c>
      <c r="Z90" s="34" t="s">
        <v>177</v>
      </c>
      <c r="AA90" s="34" t="s">
        <v>177</v>
      </c>
      <c r="AB90" s="36">
        <v>46261</v>
      </c>
      <c r="AC90" s="36">
        <v>46374</v>
      </c>
      <c r="AD90" s="34" t="s">
        <v>228</v>
      </c>
      <c r="AE90" s="36">
        <v>46127</v>
      </c>
      <c r="AF90" s="36">
        <v>46143</v>
      </c>
      <c r="AI90" s="5" t="s">
        <v>1173</v>
      </c>
      <c r="AJ90" t="s">
        <v>1239</v>
      </c>
      <c r="AK90" s="5" t="s">
        <v>1263</v>
      </c>
      <c r="AL90" s="5" t="s">
        <v>1263</v>
      </c>
      <c r="AM90" s="67" t="s">
        <v>1274</v>
      </c>
    </row>
    <row r="91" spans="1:39" s="5" customFormat="1" ht="139.19999999999999">
      <c r="A91" s="4" t="s">
        <v>150</v>
      </c>
      <c r="B91" s="34" t="s">
        <v>160</v>
      </c>
      <c r="C91" s="34" t="s">
        <v>161</v>
      </c>
      <c r="D91" s="34" t="s">
        <v>124</v>
      </c>
      <c r="E91" s="34" t="s">
        <v>47</v>
      </c>
      <c r="F91" s="34">
        <v>5</v>
      </c>
      <c r="G91" s="54" t="s">
        <v>1240</v>
      </c>
      <c r="H91" s="35" t="s">
        <v>402</v>
      </c>
      <c r="I91" s="35" t="s">
        <v>234</v>
      </c>
      <c r="J91" s="34" t="s">
        <v>176</v>
      </c>
      <c r="K91" s="35" t="s">
        <v>178</v>
      </c>
      <c r="L91" s="34" t="s">
        <v>177</v>
      </c>
      <c r="M91" s="34" t="s">
        <v>476</v>
      </c>
      <c r="N91" s="34" t="s">
        <v>477</v>
      </c>
      <c r="O91" s="34" t="s">
        <v>517</v>
      </c>
      <c r="P91" s="34" t="s">
        <v>518</v>
      </c>
      <c r="Q91" s="34" t="s">
        <v>234</v>
      </c>
      <c r="R91" s="34" t="s">
        <v>348</v>
      </c>
      <c r="S91" s="34" t="s">
        <v>234</v>
      </c>
      <c r="T91" s="34" t="s">
        <v>664</v>
      </c>
      <c r="U91" s="34" t="s">
        <v>665</v>
      </c>
      <c r="V91" s="34" t="s">
        <v>231</v>
      </c>
      <c r="W91" s="34" t="s">
        <v>231</v>
      </c>
      <c r="X91" s="34"/>
      <c r="Y91" s="37" t="s">
        <v>213</v>
      </c>
      <c r="Z91" s="34" t="s">
        <v>176</v>
      </c>
      <c r="AA91" s="34" t="s">
        <v>177</v>
      </c>
      <c r="AB91" s="36">
        <v>46252</v>
      </c>
      <c r="AC91" s="36">
        <v>46367</v>
      </c>
      <c r="AD91" s="34" t="s">
        <v>864</v>
      </c>
      <c r="AE91" s="36">
        <v>46127</v>
      </c>
      <c r="AF91" s="36">
        <v>46137</v>
      </c>
      <c r="AI91" s="5" t="s">
        <v>1173</v>
      </c>
      <c r="AJ91" s="57" t="s">
        <v>1241</v>
      </c>
      <c r="AK91" s="5" t="s">
        <v>1263</v>
      </c>
      <c r="AL91" s="5" t="s">
        <v>1263</v>
      </c>
      <c r="AM91" s="67" t="s">
        <v>1268</v>
      </c>
    </row>
    <row r="92" spans="1:39" s="5" customFormat="1" ht="24" hidden="1" customHeight="1">
      <c r="A92" s="4" t="s">
        <v>151</v>
      </c>
      <c r="B92" s="35" t="s">
        <v>368</v>
      </c>
      <c r="C92" s="35" t="s">
        <v>77</v>
      </c>
      <c r="D92" s="35" t="s">
        <v>275</v>
      </c>
      <c r="E92" s="34" t="s">
        <v>79</v>
      </c>
      <c r="F92" s="35">
        <v>2</v>
      </c>
      <c r="G92" s="40" t="s">
        <v>409</v>
      </c>
      <c r="H92" s="35" t="s">
        <v>402</v>
      </c>
      <c r="I92" s="35" t="s">
        <v>234</v>
      </c>
      <c r="J92" s="35" t="s">
        <v>177</v>
      </c>
      <c r="K92" s="35" t="s">
        <v>178</v>
      </c>
      <c r="L92" s="35" t="s">
        <v>177</v>
      </c>
      <c r="M92" s="35" t="s">
        <v>450</v>
      </c>
      <c r="N92" s="35" t="s">
        <v>328</v>
      </c>
      <c r="O92" s="35" t="s">
        <v>335</v>
      </c>
      <c r="P92" s="35" t="s">
        <v>334</v>
      </c>
      <c r="Q92" s="34" t="s">
        <v>234</v>
      </c>
      <c r="R92" s="35" t="s">
        <v>234</v>
      </c>
      <c r="S92" s="34" t="s">
        <v>234</v>
      </c>
      <c r="T92" s="34" t="s">
        <v>615</v>
      </c>
      <c r="U92" s="34" t="s">
        <v>616</v>
      </c>
      <c r="V92" s="35" t="s">
        <v>728</v>
      </c>
      <c r="W92" s="35" t="s">
        <v>728</v>
      </c>
      <c r="X92" s="35"/>
      <c r="Y92" s="42" t="s">
        <v>729</v>
      </c>
      <c r="Z92" s="35" t="s">
        <v>177</v>
      </c>
      <c r="AA92" s="35" t="s">
        <v>177</v>
      </c>
      <c r="AB92" s="35">
        <v>46272</v>
      </c>
      <c r="AC92" s="35">
        <v>46366</v>
      </c>
      <c r="AD92" s="35" t="s">
        <v>228</v>
      </c>
      <c r="AE92" s="35">
        <v>46107</v>
      </c>
      <c r="AF92" s="35">
        <v>46113</v>
      </c>
    </row>
    <row r="93" spans="1:39" s="5" customFormat="1" ht="24" hidden="1" customHeight="1">
      <c r="A93" s="4" t="s">
        <v>152</v>
      </c>
      <c r="B93" s="34" t="s">
        <v>323</v>
      </c>
      <c r="C93" s="34" t="s">
        <v>77</v>
      </c>
      <c r="D93" s="34" t="s">
        <v>275</v>
      </c>
      <c r="E93" s="34" t="s">
        <v>47</v>
      </c>
      <c r="F93" s="34">
        <v>2</v>
      </c>
      <c r="G93" s="37" t="s">
        <v>325</v>
      </c>
      <c r="H93" s="35" t="s">
        <v>402</v>
      </c>
      <c r="I93" s="35" t="s">
        <v>234</v>
      </c>
      <c r="J93" s="34" t="s">
        <v>177</v>
      </c>
      <c r="K93" s="35" t="s">
        <v>283</v>
      </c>
      <c r="L93" s="34" t="s">
        <v>177</v>
      </c>
      <c r="M93" s="34" t="s">
        <v>470</v>
      </c>
      <c r="N93" s="34" t="s">
        <v>471</v>
      </c>
      <c r="O93" s="34" t="s">
        <v>256</v>
      </c>
      <c r="P93" s="34" t="s">
        <v>333</v>
      </c>
      <c r="Q93" s="34" t="s">
        <v>234</v>
      </c>
      <c r="R93" s="35" t="s">
        <v>234</v>
      </c>
      <c r="S93" s="34" t="s">
        <v>234</v>
      </c>
      <c r="T93" s="34" t="s">
        <v>660</v>
      </c>
      <c r="U93" s="34" t="s">
        <v>338</v>
      </c>
      <c r="V93" s="34" t="s">
        <v>786</v>
      </c>
      <c r="W93" s="34" t="s">
        <v>787</v>
      </c>
      <c r="X93" s="34"/>
      <c r="Y93" s="37" t="s">
        <v>340</v>
      </c>
      <c r="Z93" s="34" t="s">
        <v>177</v>
      </c>
      <c r="AA93" s="34" t="s">
        <v>177</v>
      </c>
      <c r="AB93" s="36">
        <v>46251</v>
      </c>
      <c r="AC93" s="36">
        <v>46353</v>
      </c>
      <c r="AD93" s="34" t="s">
        <v>862</v>
      </c>
      <c r="AE93" s="36">
        <v>46142</v>
      </c>
      <c r="AF93" s="36">
        <v>46142</v>
      </c>
    </row>
    <row r="94" spans="1:39" s="5" customFormat="1" ht="24" hidden="1" customHeight="1">
      <c r="A94" s="4" t="s">
        <v>153</v>
      </c>
      <c r="B94" s="34" t="s">
        <v>351</v>
      </c>
      <c r="C94" s="35" t="s">
        <v>89</v>
      </c>
      <c r="D94" s="34" t="s">
        <v>46</v>
      </c>
      <c r="E94" s="34" t="s">
        <v>47</v>
      </c>
      <c r="F94" s="34">
        <v>1</v>
      </c>
      <c r="G94" s="37" t="s">
        <v>200</v>
      </c>
      <c r="H94" s="35" t="s">
        <v>402</v>
      </c>
      <c r="I94" s="35" t="s">
        <v>234</v>
      </c>
      <c r="J94" s="35" t="s">
        <v>177</v>
      </c>
      <c r="K94" s="35" t="s">
        <v>178</v>
      </c>
      <c r="L94" s="35" t="s">
        <v>177</v>
      </c>
      <c r="M94" s="35" t="s">
        <v>181</v>
      </c>
      <c r="N94" s="34" t="s">
        <v>436</v>
      </c>
      <c r="O94" s="35" t="s">
        <v>436</v>
      </c>
      <c r="P94" s="34" t="s">
        <v>436</v>
      </c>
      <c r="Q94" s="34" t="s">
        <v>234</v>
      </c>
      <c r="R94" s="35" t="s">
        <v>234</v>
      </c>
      <c r="S94" s="34" t="s">
        <v>436</v>
      </c>
      <c r="T94" s="34" t="s">
        <v>580</v>
      </c>
      <c r="U94" s="34" t="s">
        <v>581</v>
      </c>
      <c r="V94" s="34" t="s">
        <v>294</v>
      </c>
      <c r="W94" s="34" t="s">
        <v>292</v>
      </c>
      <c r="X94" s="34"/>
      <c r="Y94" s="37" t="s">
        <v>201</v>
      </c>
      <c r="Z94" s="34" t="s">
        <v>177</v>
      </c>
      <c r="AA94" s="34" t="s">
        <v>176</v>
      </c>
      <c r="AB94" s="36">
        <v>46266</v>
      </c>
      <c r="AC94" s="36">
        <v>46387</v>
      </c>
      <c r="AD94" s="34" t="s">
        <v>813</v>
      </c>
      <c r="AE94" s="36">
        <v>46127</v>
      </c>
      <c r="AF94" s="36">
        <v>46127</v>
      </c>
    </row>
    <row r="95" spans="1:39" s="5" customFormat="1" ht="24" hidden="1" customHeight="1">
      <c r="A95" s="4" t="s">
        <v>154</v>
      </c>
      <c r="B95" s="35" t="s">
        <v>88</v>
      </c>
      <c r="C95" s="35" t="s">
        <v>89</v>
      </c>
      <c r="D95" s="35" t="s">
        <v>46</v>
      </c>
      <c r="E95" s="34" t="s">
        <v>47</v>
      </c>
      <c r="F95" s="35">
        <v>4</v>
      </c>
      <c r="G95" s="39" t="s">
        <v>198</v>
      </c>
      <c r="H95" s="35" t="s">
        <v>402</v>
      </c>
      <c r="I95" s="35" t="s">
        <v>234</v>
      </c>
      <c r="J95" s="35" t="s">
        <v>176</v>
      </c>
      <c r="K95" s="35" t="s">
        <v>178</v>
      </c>
      <c r="L95" s="35" t="s">
        <v>177</v>
      </c>
      <c r="M95" s="35" t="s">
        <v>182</v>
      </c>
      <c r="N95" s="35">
        <v>80</v>
      </c>
      <c r="O95" s="35">
        <v>550</v>
      </c>
      <c r="P95" s="35">
        <v>6</v>
      </c>
      <c r="Q95" s="34" t="s">
        <v>234</v>
      </c>
      <c r="R95" s="35" t="s">
        <v>234</v>
      </c>
      <c r="S95" s="34" t="s">
        <v>234</v>
      </c>
      <c r="T95" s="35" t="s">
        <v>617</v>
      </c>
      <c r="U95" s="35" t="s">
        <v>199</v>
      </c>
      <c r="V95" s="35" t="s">
        <v>317</v>
      </c>
      <c r="W95" s="35" t="s">
        <v>292</v>
      </c>
      <c r="X95" s="35"/>
      <c r="Y95" s="39" t="s">
        <v>730</v>
      </c>
      <c r="Z95" s="35" t="s">
        <v>177</v>
      </c>
      <c r="AA95" s="35" t="s">
        <v>176</v>
      </c>
      <c r="AB95" s="36">
        <v>46272</v>
      </c>
      <c r="AC95" s="36">
        <v>46379</v>
      </c>
      <c r="AD95" s="34" t="s">
        <v>836</v>
      </c>
      <c r="AE95" s="36">
        <v>46096</v>
      </c>
      <c r="AF95" s="36">
        <v>46113</v>
      </c>
    </row>
    <row r="96" spans="1:39" s="5" customFormat="1" ht="24" hidden="1" customHeight="1">
      <c r="A96" s="4" t="s">
        <v>155</v>
      </c>
      <c r="B96" s="35" t="s">
        <v>93</v>
      </c>
      <c r="C96" s="35" t="s">
        <v>89</v>
      </c>
      <c r="D96" s="35" t="s">
        <v>46</v>
      </c>
      <c r="E96" s="34" t="s">
        <v>47</v>
      </c>
      <c r="F96" s="35">
        <v>2</v>
      </c>
      <c r="G96" s="39" t="s">
        <v>202</v>
      </c>
      <c r="H96" s="35" t="s">
        <v>402</v>
      </c>
      <c r="I96" s="35" t="s">
        <v>234</v>
      </c>
      <c r="J96" s="34" t="s">
        <v>176</v>
      </c>
      <c r="K96" s="35" t="s">
        <v>178</v>
      </c>
      <c r="L96" s="35" t="s">
        <v>177</v>
      </c>
      <c r="M96" s="35" t="s">
        <v>330</v>
      </c>
      <c r="N96" s="35" t="s">
        <v>331</v>
      </c>
      <c r="O96" s="35" t="s">
        <v>231</v>
      </c>
      <c r="P96" s="35" t="s">
        <v>336</v>
      </c>
      <c r="Q96" s="34" t="s">
        <v>234</v>
      </c>
      <c r="R96" s="35" t="s">
        <v>234</v>
      </c>
      <c r="S96" s="35" t="s">
        <v>544</v>
      </c>
      <c r="T96" s="35" t="s">
        <v>339</v>
      </c>
      <c r="U96" s="41" t="s">
        <v>231</v>
      </c>
      <c r="V96" s="35" t="s">
        <v>317</v>
      </c>
      <c r="W96" s="35" t="s">
        <v>292</v>
      </c>
      <c r="X96" s="35" t="s">
        <v>731</v>
      </c>
      <c r="Y96" s="39" t="s">
        <v>202</v>
      </c>
      <c r="Z96" s="35" t="s">
        <v>177</v>
      </c>
      <c r="AA96" s="35" t="s">
        <v>176</v>
      </c>
      <c r="AB96" s="36">
        <v>46265</v>
      </c>
      <c r="AC96" s="36">
        <v>46374</v>
      </c>
      <c r="AD96" s="36" t="s">
        <v>231</v>
      </c>
      <c r="AE96" s="36">
        <v>46096</v>
      </c>
      <c r="AF96" s="36">
        <v>46127</v>
      </c>
    </row>
    <row r="97" spans="1:32" s="5" customFormat="1" ht="24" hidden="1" customHeight="1">
      <c r="A97" s="4" t="s">
        <v>156</v>
      </c>
      <c r="B97" s="35" t="s">
        <v>372</v>
      </c>
      <c r="C97" s="35" t="s">
        <v>89</v>
      </c>
      <c r="D97" s="35" t="s">
        <v>46</v>
      </c>
      <c r="E97" s="35" t="s">
        <v>47</v>
      </c>
      <c r="F97" s="34">
        <v>2</v>
      </c>
      <c r="G97" s="40" t="s">
        <v>326</v>
      </c>
      <c r="H97" s="35" t="s">
        <v>402</v>
      </c>
      <c r="I97" s="35" t="s">
        <v>234</v>
      </c>
      <c r="J97" s="35" t="s">
        <v>177</v>
      </c>
      <c r="K97" s="35" t="s">
        <v>283</v>
      </c>
      <c r="L97" s="35" t="s">
        <v>176</v>
      </c>
      <c r="M97" s="34" t="s">
        <v>455</v>
      </c>
      <c r="N97" s="35">
        <v>79</v>
      </c>
      <c r="O97" s="35" t="s">
        <v>231</v>
      </c>
      <c r="P97" s="34">
        <v>6.5</v>
      </c>
      <c r="Q97" s="34" t="s">
        <v>234</v>
      </c>
      <c r="R97" s="35" t="s">
        <v>234</v>
      </c>
      <c r="S97" s="34" t="s">
        <v>234</v>
      </c>
      <c r="T97" s="34" t="s">
        <v>326</v>
      </c>
      <c r="U97" s="34" t="s">
        <v>626</v>
      </c>
      <c r="V97" s="35">
        <v>12</v>
      </c>
      <c r="W97" s="35">
        <v>18</v>
      </c>
      <c r="X97" s="34"/>
      <c r="Y97" s="40" t="s">
        <v>742</v>
      </c>
      <c r="Z97" s="34" t="s">
        <v>177</v>
      </c>
      <c r="AA97" s="34" t="s">
        <v>177</v>
      </c>
      <c r="AB97" s="35" t="s">
        <v>875</v>
      </c>
      <c r="AC97" s="35" t="s">
        <v>876</v>
      </c>
      <c r="AD97" s="35" t="s">
        <v>265</v>
      </c>
      <c r="AE97" s="35" t="s">
        <v>877</v>
      </c>
      <c r="AF97" s="35" t="s">
        <v>878</v>
      </c>
    </row>
    <row r="98" spans="1:32" s="5" customFormat="1" ht="24" hidden="1" customHeight="1">
      <c r="A98" s="4" t="s">
        <v>159</v>
      </c>
      <c r="B98" s="33" t="s">
        <v>392</v>
      </c>
      <c r="C98" s="34" t="s">
        <v>89</v>
      </c>
      <c r="D98" s="34" t="s">
        <v>46</v>
      </c>
      <c r="E98" s="34" t="s">
        <v>47</v>
      </c>
      <c r="F98" s="34">
        <v>2</v>
      </c>
      <c r="G98" s="37" t="s">
        <v>425</v>
      </c>
      <c r="H98" s="35" t="s">
        <v>402</v>
      </c>
      <c r="I98" s="35" t="s">
        <v>234</v>
      </c>
      <c r="J98" s="34" t="s">
        <v>177</v>
      </c>
      <c r="K98" s="35" t="s">
        <v>178</v>
      </c>
      <c r="L98" s="34" t="s">
        <v>177</v>
      </c>
      <c r="M98" s="34" t="s">
        <v>181</v>
      </c>
      <c r="N98" s="34" t="s">
        <v>485</v>
      </c>
      <c r="O98" s="34" t="s">
        <v>523</v>
      </c>
      <c r="P98" s="34" t="s">
        <v>524</v>
      </c>
      <c r="Q98" s="34" t="s">
        <v>234</v>
      </c>
      <c r="R98" s="35" t="s">
        <v>234</v>
      </c>
      <c r="S98" s="37" t="s">
        <v>574</v>
      </c>
      <c r="T98" s="34" t="s">
        <v>675</v>
      </c>
      <c r="U98" s="34" t="s">
        <v>231</v>
      </c>
      <c r="V98" s="34" t="s">
        <v>294</v>
      </c>
      <c r="W98" s="34" t="s">
        <v>292</v>
      </c>
      <c r="X98" s="34"/>
      <c r="Y98" s="37" t="s">
        <v>799</v>
      </c>
      <c r="Z98" s="34" t="s">
        <v>177</v>
      </c>
      <c r="AA98" s="34" t="s">
        <v>176</v>
      </c>
      <c r="AB98" s="36">
        <v>46266</v>
      </c>
      <c r="AC98" s="36">
        <v>46374</v>
      </c>
      <c r="AD98" s="34" t="s">
        <v>228</v>
      </c>
      <c r="AE98" s="36">
        <v>46143</v>
      </c>
      <c r="AF98" s="36">
        <v>46157</v>
      </c>
    </row>
  </sheetData>
  <protectedRanges>
    <protectedRange sqref="D5:E6 G5:G6" name="범위1_1_1"/>
  </protectedRanges>
  <autoFilter ref="A8:AF98" xr:uid="{00000000-0009-0000-0000-000000000000}">
    <filterColumn colId="3">
      <filters>
        <filter val="기타"/>
        <filter val="영미"/>
        <filter val="유럽"/>
      </filters>
    </filterColumn>
    <filterColumn colId="4">
      <filters>
        <filter val="Semester"/>
        <filter val="Trimester"/>
      </filters>
    </filterColumn>
    <filterColumn colId="11">
      <filters blank="1">
        <filter val="O"/>
      </filters>
    </filterColumn>
    <filterColumn colId="15">
      <filters>
        <filter val="-"/>
        <filter val="4.0 - 5.0"/>
        <filter val="4.5"/>
        <filter val="5.5"/>
        <filter val="5.5-6.5"/>
        <filter val="6"/>
        <filter val="at least 5.5"/>
        <filter val="B2"/>
        <filter val="B2 English / B1 French"/>
        <filter val="B2 equivalent"/>
        <filter val="B2 level"/>
        <filter val="Depends on host"/>
        <filter val="Depends on program"/>
        <filter val="Depends on the faculty"/>
        <filter val="English B2 - Italian level B1"/>
        <filter val="English: minimum B2, at least 6.0 points"/>
        <filter val="Equal to B2, according to CEFR"/>
        <filter val="Equivalent of B2"/>
        <filter val="equivalent to CEFR B1 (Bachelor) or B2 (Master)"/>
        <filter val="From 5,5 to 6,5"/>
        <filter val="https://feb.kuleuven.be/eng/international/coming-to-feb-ku-leuven/nomination-application"/>
        <filter val="https://ww1.oswego.edu/international/english-proficiency-requirements"/>
        <filter val="https://www.vub.be/en/internationalisation-vub/international-relations-what-we-do-how-you-can-reach-us/exchange-erasmus-projects/come-vub-exchange#faq-item-16706"/>
        <filter val="https://www.zhaw.ch/storage/engineering/studium/internationales-studium/vom-ausland-in-die-schweiz/ZHAW_School_of_Engineering_Factsheet_-_Incoming_Exchange.pdf"/>
        <filter val="IELTS 5.5"/>
        <filter val="IELTS 6.0"/>
        <filter val="IELTS–Test:  5.5"/>
        <filter val="Language certificates are not required but we do recommend a minimum B2 level in English (CEFR)"/>
        <filter val="language skills equivalent to level CEFR B2"/>
        <filter val="level B2 or equivalent"/>
        <filter val="min. B2 level"/>
        <filter val="None"/>
        <filter val="Ou Programas are in portuguese"/>
        <filter val="please see our English requirements here: https://www.mci4me.at/en/international/exchange-incoming"/>
        <filter val="Recommended to achieve B2 level (overall 6.0 or above)."/>
        <filter val="한양대 선발 기준"/>
      </filters>
    </filterColumn>
    <sortState xmlns:xlrd2="http://schemas.microsoft.com/office/spreadsheetml/2017/richdata2" ref="A10:AF98">
      <sortCondition ref="C8:C98"/>
    </sortState>
  </autoFilter>
  <mergeCells count="17">
    <mergeCell ref="D2:U2"/>
    <mergeCell ref="D3:U3"/>
    <mergeCell ref="A5:B6"/>
    <mergeCell ref="D5:U5"/>
    <mergeCell ref="D6:U6"/>
    <mergeCell ref="AB7:AF7"/>
    <mergeCell ref="A7:A8"/>
    <mergeCell ref="B7:B8"/>
    <mergeCell ref="C7:C8"/>
    <mergeCell ref="D7:D8"/>
    <mergeCell ref="E7:E8"/>
    <mergeCell ref="G7:G8"/>
    <mergeCell ref="H7:H8"/>
    <mergeCell ref="I7:I8"/>
    <mergeCell ref="J7:T7"/>
    <mergeCell ref="U7:Y7"/>
    <mergeCell ref="Z7:AA7"/>
  </mergeCells>
  <phoneticPr fontId="3" type="noConversion"/>
  <conditionalFormatting sqref="B7:B8">
    <cfRule type="duplicateValues" dxfId="4" priority="12"/>
  </conditionalFormatting>
  <conditionalFormatting sqref="F16">
    <cfRule type="cellIs" dxfId="3" priority="1" operator="lessThan">
      <formula>0</formula>
    </cfRule>
    <cfRule type="beginsWith" dxfId="2" priority="2" operator="beginsWith" text="0">
      <formula>LEFT((F16),LEN("0"))=("0")</formula>
    </cfRule>
    <cfRule type="beginsWith" dxfId="1" priority="3" operator="beginsWith" text="0">
      <formula>LEFT((F16),LEN("0"))=("0")</formula>
    </cfRule>
  </conditionalFormatting>
  <hyperlinks>
    <hyperlink ref="A5" location="'학점(GPA) 환산'!A1" display="평균평점(GPA) 환산표" xr:uid="{00000000-0004-0000-0000-000000000000}"/>
    <hyperlink ref="A5:B6" location="'평균평점(GPA) 변환'!A1" display="평균평점(GPA) 변환기" xr:uid="{00000000-0004-0000-0000-000001000000}"/>
    <hyperlink ref="T9" r:id="rId1" xr:uid="{D30DD6C1-56D3-421F-8441-860BC362E72B}"/>
    <hyperlink ref="G12" r:id="rId2" xr:uid="{A2327899-EBFD-40B9-96A5-92E613063174}"/>
    <hyperlink ref="T12" r:id="rId3" xr:uid="{3AE4393B-6C84-44FB-AAFA-D4A4D05100AC}"/>
    <hyperlink ref="T14" r:id="rId4" xr:uid="{D0C7EC8F-C33B-4FA4-98B2-39D502E1EAC7}"/>
    <hyperlink ref="T15" r:id="rId5" xr:uid="{3C2A7702-8688-40B1-854F-5CE2211355E7}"/>
    <hyperlink ref="T16" r:id="rId6" xr:uid="{5EA8268F-E28F-4F20-8DCD-1ECAE51CF270}"/>
    <hyperlink ref="T17" r:id="rId7" xr:uid="{E04B294A-57FE-4960-8467-47EF0E93EB79}"/>
    <hyperlink ref="T19" r:id="rId8" xr:uid="{0B719F72-A7A4-450A-AE32-C91A83C6E15A}"/>
    <hyperlink ref="T21" r:id="rId9" xr:uid="{5D0EA97D-4A74-4C39-BDCF-5C5EB4D7DED0}"/>
    <hyperlink ref="Y22" r:id="rId10" xr:uid="{90433982-DF4D-4B6A-8D64-FBADADB8231C}"/>
    <hyperlink ref="G24" r:id="rId11" xr:uid="{54B43D8D-6E52-4E09-A93A-083AD225DFC6}"/>
    <hyperlink ref="Y24" r:id="rId12" xr:uid="{E14F57EF-3426-44EB-8D86-71C4BB76BBB6}"/>
    <hyperlink ref="Y25" r:id="rId13" xr:uid="{DA7AC384-F472-4F05-A872-877069DCD996}"/>
    <hyperlink ref="Y26" r:id="rId14" xr:uid="{1E92D48D-6656-4415-8C07-D043AD6B8BF1}"/>
    <hyperlink ref="G27" r:id="rId15" xr:uid="{47AE298A-7B1D-4F83-80F8-BC4266CE6FD9}"/>
    <hyperlink ref="Y27" r:id="rId16" xr:uid="{A7C32488-EE71-4862-9AD7-7EE09A125CB4}"/>
    <hyperlink ref="Y28" r:id="rId17" location="courses" xr:uid="{29F18756-B1D8-44F6-9A6E-60EE5725EF61}"/>
    <hyperlink ref="Y29" r:id="rId18" location="319320" xr:uid="{39CF62A5-EE5B-4287-98C4-B119E7065CC3}"/>
    <hyperlink ref="Y33" r:id="rId19" location="ContentBlock-2-1" xr:uid="{42A8F217-E35F-45A9-90D3-736B36F63704}"/>
    <hyperlink ref="G33" r:id="rId20" location="ContentBlock-2-1" xr:uid="{5C545272-A26E-4621-A57E-3B48D4799390}"/>
    <hyperlink ref="P34" r:id="rId21" xr:uid="{DD34F298-E392-4438-B170-385DFB0A00AE}"/>
    <hyperlink ref="G34" r:id="rId22" xr:uid="{F08B3195-68AC-4D48-A469-A7F2358899A8}"/>
    <hyperlink ref="G39" r:id="rId23" xr:uid="{701AF7FD-88F9-405F-ABA1-23C555CE5F18}"/>
    <hyperlink ref="G43" r:id="rId24" xr:uid="{46355664-9188-47B8-A042-05C4307CB4FE}"/>
    <hyperlink ref="G44" r:id="rId25" xr:uid="{2C234F9C-C6C2-45F0-B219-09750C89C7A0}"/>
    <hyperlink ref="Y19" r:id="rId26" xr:uid="{4C5748BD-444B-4B30-94D3-9CDA678A190F}"/>
    <hyperlink ref="G78" r:id="rId27" xr:uid="{8096B519-4607-4B0E-8637-CCAE5D88A21B}"/>
    <hyperlink ref="Y78" r:id="rId28" xr:uid="{B0373472-DB06-436A-A31E-56AF12A8AF3E}"/>
    <hyperlink ref="G79" r:id="rId29" xr:uid="{02AEB003-1AFF-46E5-BDFF-F7FB4CB50D88}"/>
    <hyperlink ref="AJ79" r:id="rId30" display="mailto:incoming@devinci.fr" xr:uid="{C89E241B-9451-43ED-8353-3B07B3C5B7A6}"/>
    <hyperlink ref="G80" r:id="rId31" xr:uid="{507C4397-A71E-47C0-9543-1FC6EF7469B9}"/>
    <hyperlink ref="AJ80" r:id="rId32" display="mailto:exchange@rennes-sb.com" xr:uid="{8FC6E0F3-3DE9-43A5-A856-425148A4A819}"/>
    <hyperlink ref="G81" r:id="rId33" xr:uid="{7E3BBA29-B3DB-4A1D-AA7B-6055C15B8F27}"/>
    <hyperlink ref="T81" r:id="rId34" xr:uid="{6F9CC793-0DE6-4D32-B703-1AA534315A4D}"/>
    <hyperlink ref="G82" r:id="rId35" xr:uid="{BC5A18BA-778E-4E49-A5A8-1EEFA9CD6D1E}"/>
    <hyperlink ref="T82" r:id="rId36" xr:uid="{0899EF7C-EA88-4FB4-8A58-8AE5FD237621}"/>
    <hyperlink ref="G83" r:id="rId37" xr:uid="{497B9820-95A9-44E7-BA31-317776A37E7F}"/>
    <hyperlink ref="G84" r:id="rId38" xr:uid="{A8206029-32BD-4240-8485-DCED40350C90}"/>
    <hyperlink ref="G85" r:id="rId39" xr:uid="{136FFED6-A5C3-4E8E-A3F4-021E0D970CAC}"/>
    <hyperlink ref="Y87" r:id="rId40" xr:uid="{D0DDC848-6960-4556-A386-89033ABF12B9}"/>
    <hyperlink ref="G89" r:id="rId41" xr:uid="{7C9D120E-8ED3-43AD-8501-FE632904D5FE}"/>
    <hyperlink ref="G90" r:id="rId42" xr:uid="{852FB7D9-787F-44CE-9FA4-C42827B1D68A}"/>
    <hyperlink ref="G91" r:id="rId43" xr:uid="{C03209AE-4E4B-44E9-B96D-4F8E244D6F98}"/>
    <hyperlink ref="AJ91" r:id="rId44" xr:uid="{7F76419F-402E-46F0-993B-E8B60CFF6512}"/>
    <hyperlink ref="G55" r:id="rId45" xr:uid="{923EE429-A0E1-46B7-948F-6C3DEA8200E7}"/>
    <hyperlink ref="AJ55" r:id="rId46" display="mailto:mne@uc3m.es" xr:uid="{B14E0574-FC5E-440C-8C9D-C4023ECFB9CC}"/>
    <hyperlink ref="G56" r:id="rId47" xr:uid="{250481E2-D8AF-4A76-B8A5-1DCC8459935C}"/>
    <hyperlink ref="AJ56" r:id="rId48" xr:uid="{DF0360F9-8AD3-44BD-A43E-0F6ED285BC6E}"/>
    <hyperlink ref="G57" r:id="rId49" xr:uid="{9A6A6590-3A01-4A1D-94D8-4EA277D35B27}"/>
    <hyperlink ref="G58" r:id="rId50" xr:uid="{AEB41A10-56CB-4C1C-B3D3-BEC2EF34114B}"/>
    <hyperlink ref="G59" r:id="rId51" xr:uid="{732BC083-9B36-423C-8AC7-8DEEFEDE18B6}"/>
    <hyperlink ref="AJ59" r:id="rId52" display="mailto:cgonzalez@comillas.edu" xr:uid="{B8D45841-68F9-4A26-86D3-1D61A23CB1CE}"/>
    <hyperlink ref="G60" r:id="rId53" xr:uid="{8B411BA3-2BA0-40B7-9E20-A2F43D1C5E2D}"/>
    <hyperlink ref="G61" r:id="rId54" xr:uid="{56A13168-5BEC-4201-89C7-CA7CFCE7A35A}"/>
    <hyperlink ref="AJ61" r:id="rId55" display="mailto:global.ub@ub.edu" xr:uid="{20557DA3-7329-4C39-AD0F-09BE2C154D6C}"/>
    <hyperlink ref="G48" r:id="rId56" xr:uid="{8C3DE930-6F6C-473C-B4C8-ABB42BF89D4C}"/>
    <hyperlink ref="Y48" r:id="rId57" xr:uid="{9C290E85-80DB-4725-8E21-F19130FE76C0}"/>
    <hyperlink ref="AJ48" r:id="rId58" xr:uid="{3A7F63EA-7ED9-423F-B129-DE6AA09FE165}"/>
    <hyperlink ref="Y49" r:id="rId59" xr:uid="{F5677184-E171-4001-8581-068AAB2960BA}"/>
    <hyperlink ref="Y50" r:id="rId60" xr:uid="{ADBDCED9-4116-44D2-8228-20E358B9888A}"/>
    <hyperlink ref="AJ50" r:id="rId61" xr:uid="{F0A7A14E-A838-4F89-A1B8-551A80A05CF2}"/>
    <hyperlink ref="Y51" r:id="rId62" xr:uid="{2BD7C45A-130C-49F1-8489-88BC9D3F4E80}"/>
  </hyperlinks>
  <pageMargins left="0.7" right="0.7" top="0.75" bottom="0.75" header="0.3" footer="0.3"/>
  <pageSetup paperSize="9" orientation="portrait" r:id="rId63"/>
  <ignoredErrors>
    <ignoredError sqref="A9:A98" numberStoredAsText="1"/>
  </ignoredErrors>
  <drawing r:id="rId6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40"/>
  <sheetViews>
    <sheetView zoomScale="90" zoomScaleNormal="90" workbookViewId="0">
      <pane xSplit="5" ySplit="8" topLeftCell="F9" activePane="bottomRight" state="frozen"/>
      <selection pane="topRight" activeCell="F1" sqref="F1"/>
      <selection pane="bottomLeft" activeCell="A3" sqref="A3"/>
      <selection pane="bottomRight" activeCell="A9" sqref="A9"/>
    </sheetView>
  </sheetViews>
  <sheetFormatPr defaultColWidth="9" defaultRowHeight="24" customHeight="1"/>
  <cols>
    <col min="1" max="1" width="9" style="8"/>
    <col min="2" max="2" width="25.59765625" style="7" customWidth="1"/>
    <col min="3" max="5" width="9" style="8"/>
    <col min="6" max="6" width="9.09765625" style="8" bestFit="1" customWidth="1"/>
    <col min="7" max="12" width="9" style="8" customWidth="1"/>
    <col min="13" max="16" width="9.09765625" style="8" customWidth="1"/>
    <col min="17" max="20" width="9" style="8" customWidth="1"/>
    <col min="21" max="21" width="5.3984375" style="8" customWidth="1"/>
    <col min="22" max="23" width="9.09765625" style="8" customWidth="1"/>
    <col min="24" max="27" width="9" style="8" customWidth="1"/>
    <col min="28" max="29" width="9.69921875" style="43" customWidth="1"/>
    <col min="30" max="30" width="9" style="43" customWidth="1"/>
    <col min="31" max="32" width="9.69921875" style="43" customWidth="1"/>
    <col min="33" max="16384" width="9" style="8"/>
  </cols>
  <sheetData>
    <row r="1" spans="1:32" s="10" customFormat="1" ht="24" customHeight="1">
      <c r="A1"/>
      <c r="B1"/>
      <c r="C1"/>
      <c r="D1"/>
      <c r="E1"/>
      <c r="F1" s="9"/>
      <c r="G1" s="9"/>
      <c r="H1" s="9"/>
      <c r="I1"/>
      <c r="J1"/>
      <c r="K1"/>
      <c r="AB1" s="31"/>
      <c r="AC1" s="31"/>
      <c r="AD1" s="31"/>
      <c r="AE1" s="31"/>
      <c r="AF1" s="31"/>
    </row>
    <row r="2" spans="1:32" s="10" customFormat="1" ht="24" customHeight="1">
      <c r="A2"/>
      <c r="B2"/>
      <c r="C2"/>
      <c r="D2" s="74" t="s">
        <v>36</v>
      </c>
      <c r="E2" s="74"/>
      <c r="F2" s="74"/>
      <c r="G2" s="74"/>
      <c r="H2" s="74"/>
      <c r="I2" s="75"/>
      <c r="J2" s="74"/>
      <c r="K2" s="74"/>
      <c r="L2" s="74"/>
      <c r="M2" s="74"/>
      <c r="N2" s="74"/>
      <c r="O2" s="74"/>
      <c r="P2" s="74"/>
      <c r="Q2" s="74"/>
      <c r="R2" s="74"/>
      <c r="S2" s="74"/>
      <c r="T2" s="74"/>
      <c r="U2" s="74"/>
      <c r="AB2" s="31"/>
      <c r="AC2" s="31"/>
      <c r="AD2" s="31"/>
      <c r="AE2" s="31"/>
      <c r="AF2" s="31"/>
    </row>
    <row r="3" spans="1:32" s="10" customFormat="1" ht="150" customHeight="1">
      <c r="A3"/>
      <c r="B3"/>
      <c r="C3"/>
      <c r="D3" s="76" t="s">
        <v>349</v>
      </c>
      <c r="E3" s="76"/>
      <c r="F3" s="76"/>
      <c r="G3" s="76"/>
      <c r="H3" s="76"/>
      <c r="I3" s="76"/>
      <c r="J3" s="76"/>
      <c r="K3" s="76"/>
      <c r="L3" s="76"/>
      <c r="M3" s="76"/>
      <c r="N3" s="76"/>
      <c r="O3" s="76"/>
      <c r="P3" s="76"/>
      <c r="Q3" s="76"/>
      <c r="R3" s="76"/>
      <c r="S3" s="76"/>
      <c r="T3" s="76"/>
      <c r="U3" s="76"/>
      <c r="AB3" s="31"/>
      <c r="AC3" s="31"/>
      <c r="AD3" s="31"/>
      <c r="AE3" s="31"/>
      <c r="AF3" s="31"/>
    </row>
    <row r="4" spans="1:32" s="10" customFormat="1" ht="24" customHeight="1" thickBot="1">
      <c r="A4"/>
      <c r="B4"/>
      <c r="C4"/>
      <c r="D4"/>
      <c r="E4" s="11"/>
      <c r="F4" s="11"/>
      <c r="G4" s="11"/>
      <c r="H4" s="9"/>
      <c r="I4"/>
      <c r="J4"/>
      <c r="K4"/>
      <c r="AB4" s="31"/>
      <c r="AC4" s="31"/>
      <c r="AD4" s="31"/>
      <c r="AE4" s="31"/>
      <c r="AF4" s="31"/>
    </row>
    <row r="5" spans="1:32" s="10" customFormat="1" ht="24" customHeight="1">
      <c r="A5" s="77" t="s">
        <v>37</v>
      </c>
      <c r="B5" s="78"/>
      <c r="C5"/>
      <c r="D5" s="81" t="s">
        <v>38</v>
      </c>
      <c r="E5" s="81"/>
      <c r="F5" s="81"/>
      <c r="G5" s="81"/>
      <c r="H5" s="81"/>
      <c r="I5" s="81"/>
      <c r="J5" s="81"/>
      <c r="K5" s="81"/>
      <c r="L5" s="81"/>
      <c r="M5" s="81"/>
      <c r="N5" s="81"/>
      <c r="O5" s="81"/>
      <c r="P5" s="81"/>
      <c r="Q5" s="81"/>
      <c r="R5" s="81"/>
      <c r="S5" s="81"/>
      <c r="T5" s="81"/>
      <c r="U5" s="81"/>
      <c r="AB5" s="31"/>
      <c r="AC5" s="31"/>
      <c r="AD5" s="31"/>
      <c r="AE5" s="31"/>
      <c r="AF5" s="31"/>
    </row>
    <row r="6" spans="1:32" s="10" customFormat="1" ht="24" customHeight="1">
      <c r="A6" s="79"/>
      <c r="B6" s="80"/>
      <c r="C6"/>
      <c r="D6" s="81" t="s">
        <v>232</v>
      </c>
      <c r="E6" s="81"/>
      <c r="F6" s="81"/>
      <c r="G6" s="81"/>
      <c r="H6" s="81"/>
      <c r="I6" s="81"/>
      <c r="J6" s="81"/>
      <c r="K6" s="81"/>
      <c r="L6" s="81"/>
      <c r="M6" s="81"/>
      <c r="N6" s="81"/>
      <c r="O6" s="81"/>
      <c r="P6" s="81"/>
      <c r="Q6" s="81"/>
      <c r="R6" s="81"/>
      <c r="S6" s="81"/>
      <c r="T6" s="81"/>
      <c r="U6" s="81"/>
      <c r="AB6" s="31"/>
      <c r="AC6" s="31"/>
      <c r="AD6" s="31"/>
      <c r="AE6" s="31"/>
      <c r="AF6" s="31"/>
    </row>
    <row r="7" spans="1:32" s="2" customFormat="1" ht="24" customHeight="1">
      <c r="A7" s="73" t="s">
        <v>0</v>
      </c>
      <c r="B7" s="73" t="s">
        <v>1</v>
      </c>
      <c r="C7" s="73" t="s">
        <v>2</v>
      </c>
      <c r="D7" s="73" t="s">
        <v>3</v>
      </c>
      <c r="E7" s="73" t="s">
        <v>4</v>
      </c>
      <c r="F7" s="1" t="s">
        <v>235</v>
      </c>
      <c r="G7" s="73" t="s">
        <v>5</v>
      </c>
      <c r="H7" s="73" t="s">
        <v>6</v>
      </c>
      <c r="I7" s="73" t="s">
        <v>7</v>
      </c>
      <c r="J7" s="73" t="s">
        <v>8</v>
      </c>
      <c r="K7" s="73"/>
      <c r="L7" s="73"/>
      <c r="M7" s="73"/>
      <c r="N7" s="73"/>
      <c r="O7" s="73"/>
      <c r="P7" s="73"/>
      <c r="Q7" s="73"/>
      <c r="R7" s="73"/>
      <c r="S7" s="73"/>
      <c r="T7" s="73" t="s">
        <v>9</v>
      </c>
      <c r="U7" s="73"/>
      <c r="V7" s="73"/>
      <c r="W7" s="73"/>
      <c r="X7" s="73"/>
      <c r="Y7" s="73"/>
      <c r="Z7" s="73" t="s">
        <v>10</v>
      </c>
      <c r="AA7" s="73"/>
      <c r="AB7" s="83" t="s">
        <v>11</v>
      </c>
      <c r="AC7" s="83"/>
      <c r="AD7" s="83"/>
      <c r="AE7" s="83"/>
      <c r="AF7" s="83"/>
    </row>
    <row r="8" spans="1:32" s="2" customFormat="1" ht="24" customHeight="1">
      <c r="A8" s="73"/>
      <c r="B8" s="73"/>
      <c r="C8" s="73"/>
      <c r="D8" s="73"/>
      <c r="E8" s="73"/>
      <c r="F8" s="3" t="s">
        <v>12</v>
      </c>
      <c r="G8" s="73"/>
      <c r="H8" s="73"/>
      <c r="I8" s="73"/>
      <c r="J8" s="3" t="s">
        <v>13</v>
      </c>
      <c r="K8" s="3" t="s">
        <v>14</v>
      </c>
      <c r="L8" s="3" t="s">
        <v>15</v>
      </c>
      <c r="M8" s="3" t="s">
        <v>16</v>
      </c>
      <c r="N8" s="3" t="s">
        <v>17</v>
      </c>
      <c r="O8" s="3" t="s">
        <v>18</v>
      </c>
      <c r="P8" s="3" t="s">
        <v>19</v>
      </c>
      <c r="Q8" s="3" t="s">
        <v>20</v>
      </c>
      <c r="R8" s="3" t="s">
        <v>21</v>
      </c>
      <c r="S8" s="3" t="s">
        <v>22</v>
      </c>
      <c r="T8" s="3" t="s">
        <v>23</v>
      </c>
      <c r="U8" s="3" t="s">
        <v>24</v>
      </c>
      <c r="V8" s="3" t="s">
        <v>25</v>
      </c>
      <c r="W8" s="3" t="s">
        <v>26</v>
      </c>
      <c r="X8" s="3" t="s">
        <v>27</v>
      </c>
      <c r="Y8" s="3" t="s">
        <v>28</v>
      </c>
      <c r="Z8" s="3" t="s">
        <v>29</v>
      </c>
      <c r="AA8" s="3" t="s">
        <v>30</v>
      </c>
      <c r="AB8" s="32" t="s">
        <v>31</v>
      </c>
      <c r="AC8" s="32" t="s">
        <v>32</v>
      </c>
      <c r="AD8" s="32" t="s">
        <v>33</v>
      </c>
      <c r="AE8" s="32" t="s">
        <v>34</v>
      </c>
      <c r="AF8" s="32" t="s">
        <v>35</v>
      </c>
    </row>
    <row r="9" spans="1:32" s="5" customFormat="1" ht="24" customHeight="1">
      <c r="A9" s="4" t="s">
        <v>233</v>
      </c>
      <c r="B9" s="34" t="s">
        <v>888</v>
      </c>
      <c r="C9" s="35" t="s">
        <v>889</v>
      </c>
      <c r="D9" s="35" t="s">
        <v>887</v>
      </c>
      <c r="E9" s="34" t="s">
        <v>47</v>
      </c>
      <c r="F9" s="35">
        <v>1</v>
      </c>
      <c r="G9" s="40" t="s">
        <v>923</v>
      </c>
      <c r="H9" s="35" t="s">
        <v>402</v>
      </c>
      <c r="I9" s="34" t="s">
        <v>234</v>
      </c>
      <c r="J9" s="35" t="s">
        <v>177</v>
      </c>
      <c r="K9" s="35" t="s">
        <v>178</v>
      </c>
      <c r="L9" s="35" t="s">
        <v>177</v>
      </c>
      <c r="M9" s="35" t="s">
        <v>952</v>
      </c>
      <c r="N9" s="35">
        <v>80</v>
      </c>
      <c r="O9" s="34">
        <v>700</v>
      </c>
      <c r="P9" s="35">
        <v>6</v>
      </c>
      <c r="Q9" s="34"/>
      <c r="R9" s="34" t="s">
        <v>989</v>
      </c>
      <c r="S9" s="34" t="s">
        <v>990</v>
      </c>
      <c r="T9" s="34" t="s">
        <v>1038</v>
      </c>
      <c r="U9" s="34" t="s">
        <v>177</v>
      </c>
      <c r="V9" s="34">
        <v>9</v>
      </c>
      <c r="W9" s="34">
        <v>25</v>
      </c>
      <c r="X9" s="34" t="s">
        <v>1097</v>
      </c>
      <c r="Y9" s="37" t="s">
        <v>1098</v>
      </c>
      <c r="Z9" s="35" t="s">
        <v>177</v>
      </c>
      <c r="AA9" s="35" t="s">
        <v>177</v>
      </c>
      <c r="AB9" s="36">
        <v>46266</v>
      </c>
      <c r="AC9" s="36">
        <v>46387</v>
      </c>
      <c r="AD9" s="34" t="s">
        <v>285</v>
      </c>
      <c r="AE9" s="36">
        <v>46111</v>
      </c>
      <c r="AF9" s="36">
        <v>46132</v>
      </c>
    </row>
    <row r="10" spans="1:32" s="5" customFormat="1" ht="24" customHeight="1">
      <c r="A10" s="4" t="s">
        <v>48</v>
      </c>
      <c r="B10" s="34" t="s">
        <v>897</v>
      </c>
      <c r="C10" s="34" t="s">
        <v>889</v>
      </c>
      <c r="D10" s="35" t="s">
        <v>887</v>
      </c>
      <c r="E10" s="34" t="s">
        <v>47</v>
      </c>
      <c r="F10" s="34">
        <v>1</v>
      </c>
      <c r="G10" s="37" t="s">
        <v>931</v>
      </c>
      <c r="H10" s="35" t="s">
        <v>402</v>
      </c>
      <c r="I10" s="34" t="s">
        <v>234</v>
      </c>
      <c r="J10" s="35" t="s">
        <v>177</v>
      </c>
      <c r="K10" s="35" t="s">
        <v>178</v>
      </c>
      <c r="L10" s="35" t="s">
        <v>177</v>
      </c>
      <c r="M10" s="34" t="s">
        <v>960</v>
      </c>
      <c r="N10" s="34" t="s">
        <v>960</v>
      </c>
      <c r="O10" s="35" t="s">
        <v>960</v>
      </c>
      <c r="P10" s="34" t="s">
        <v>960</v>
      </c>
      <c r="Q10" s="35"/>
      <c r="R10" s="34"/>
      <c r="S10" s="34" t="s">
        <v>1000</v>
      </c>
      <c r="T10" s="34" t="s">
        <v>1055</v>
      </c>
      <c r="U10" s="34" t="s">
        <v>177</v>
      </c>
      <c r="V10" s="34" t="s">
        <v>1056</v>
      </c>
      <c r="W10" s="34" t="s">
        <v>1057</v>
      </c>
      <c r="X10" s="34" t="s">
        <v>1112</v>
      </c>
      <c r="Y10" s="34" t="s">
        <v>1113</v>
      </c>
      <c r="Z10" s="34" t="s">
        <v>177</v>
      </c>
      <c r="AA10" s="34" t="s">
        <v>176</v>
      </c>
      <c r="AB10" s="36">
        <v>46265</v>
      </c>
      <c r="AC10" s="36">
        <v>46374</v>
      </c>
      <c r="AD10" s="34" t="s">
        <v>1145</v>
      </c>
      <c r="AE10" s="36">
        <v>46111</v>
      </c>
      <c r="AF10" s="36">
        <v>46127</v>
      </c>
    </row>
    <row r="11" spans="1:32" s="5" customFormat="1" ht="24" customHeight="1">
      <c r="A11" s="4" t="s">
        <v>50</v>
      </c>
      <c r="B11" s="34" t="s">
        <v>898</v>
      </c>
      <c r="C11" s="34" t="s">
        <v>889</v>
      </c>
      <c r="D11" s="35" t="s">
        <v>887</v>
      </c>
      <c r="E11" s="34" t="s">
        <v>47</v>
      </c>
      <c r="F11" s="34">
        <v>1</v>
      </c>
      <c r="G11" s="37" t="s">
        <v>932</v>
      </c>
      <c r="H11" s="35" t="s">
        <v>402</v>
      </c>
      <c r="I11" s="34" t="s">
        <v>234</v>
      </c>
      <c r="J11" s="35" t="s">
        <v>177</v>
      </c>
      <c r="K11" s="35" t="s">
        <v>178</v>
      </c>
      <c r="L11" s="35" t="s">
        <v>177</v>
      </c>
      <c r="M11" s="34" t="s">
        <v>961</v>
      </c>
      <c r="N11" s="34">
        <v>42</v>
      </c>
      <c r="O11" s="34">
        <v>433</v>
      </c>
      <c r="P11" s="34">
        <v>4</v>
      </c>
      <c r="Q11" s="35"/>
      <c r="R11" s="34" t="s">
        <v>1001</v>
      </c>
      <c r="S11" s="34" t="s">
        <v>1002</v>
      </c>
      <c r="T11" s="34" t="s">
        <v>1058</v>
      </c>
      <c r="U11" s="34" t="s">
        <v>177</v>
      </c>
      <c r="V11" s="34" t="s">
        <v>1059</v>
      </c>
      <c r="W11" s="34" t="s">
        <v>1060</v>
      </c>
      <c r="X11" s="34" t="s">
        <v>1114</v>
      </c>
      <c r="Y11" s="37" t="s">
        <v>1115</v>
      </c>
      <c r="Z11" s="34" t="s">
        <v>176</v>
      </c>
      <c r="AA11" s="34" t="s">
        <v>176</v>
      </c>
      <c r="AB11" s="36">
        <v>46266</v>
      </c>
      <c r="AC11" s="36">
        <v>46381</v>
      </c>
      <c r="AD11" s="34" t="s">
        <v>1146</v>
      </c>
      <c r="AE11" s="36">
        <v>46127</v>
      </c>
      <c r="AF11" s="36">
        <v>46142</v>
      </c>
    </row>
    <row r="12" spans="1:32" s="5" customFormat="1" ht="24" customHeight="1">
      <c r="A12" s="4" t="s">
        <v>52</v>
      </c>
      <c r="B12" s="35" t="s">
        <v>904</v>
      </c>
      <c r="C12" s="34" t="s">
        <v>889</v>
      </c>
      <c r="D12" s="35" t="s">
        <v>887</v>
      </c>
      <c r="E12" s="34" t="s">
        <v>47</v>
      </c>
      <c r="F12" s="34">
        <v>2</v>
      </c>
      <c r="G12" s="38" t="s">
        <v>938</v>
      </c>
      <c r="H12" s="35" t="s">
        <v>402</v>
      </c>
      <c r="I12" s="34" t="s">
        <v>234</v>
      </c>
      <c r="J12" s="35" t="s">
        <v>177</v>
      </c>
      <c r="K12" s="35" t="s">
        <v>178</v>
      </c>
      <c r="L12" s="34" t="s">
        <v>177</v>
      </c>
      <c r="M12" s="34" t="s">
        <v>1163</v>
      </c>
      <c r="N12" s="35">
        <v>42</v>
      </c>
      <c r="O12" s="34" t="s">
        <v>980</v>
      </c>
      <c r="P12" s="34">
        <v>5</v>
      </c>
      <c r="Q12" s="34"/>
      <c r="R12" s="34" t="s">
        <v>1011</v>
      </c>
      <c r="S12" s="35" t="s">
        <v>1012</v>
      </c>
      <c r="T12" s="34" t="s">
        <v>1072</v>
      </c>
      <c r="U12" s="34" t="s">
        <v>177</v>
      </c>
      <c r="V12" s="35" t="s">
        <v>1073</v>
      </c>
      <c r="W12" s="35" t="s">
        <v>1074</v>
      </c>
      <c r="X12" s="35"/>
      <c r="Y12" s="38" t="s">
        <v>1123</v>
      </c>
      <c r="Z12" s="35" t="s">
        <v>177</v>
      </c>
      <c r="AA12" s="34" t="s">
        <v>177</v>
      </c>
      <c r="AB12" s="36">
        <v>46266</v>
      </c>
      <c r="AC12" s="36">
        <v>46418</v>
      </c>
      <c r="AD12" s="34" t="s">
        <v>1151</v>
      </c>
      <c r="AE12" s="36">
        <v>46112</v>
      </c>
      <c r="AF12" s="36">
        <v>46142</v>
      </c>
    </row>
    <row r="13" spans="1:32" s="5" customFormat="1" ht="24" customHeight="1">
      <c r="A13" s="4" t="s">
        <v>53</v>
      </c>
      <c r="B13" s="34" t="s">
        <v>912</v>
      </c>
      <c r="C13" s="35" t="s">
        <v>889</v>
      </c>
      <c r="D13" s="35" t="s">
        <v>887</v>
      </c>
      <c r="E13" s="34" t="s">
        <v>47</v>
      </c>
      <c r="F13" s="34">
        <v>1</v>
      </c>
      <c r="G13" s="37" t="s">
        <v>945</v>
      </c>
      <c r="H13" s="35" t="s">
        <v>402</v>
      </c>
      <c r="I13" s="34" t="s">
        <v>234</v>
      </c>
      <c r="J13" s="34" t="s">
        <v>177</v>
      </c>
      <c r="K13" s="35" t="s">
        <v>283</v>
      </c>
      <c r="L13" s="35" t="s">
        <v>177</v>
      </c>
      <c r="M13" s="34" t="s">
        <v>1163</v>
      </c>
      <c r="N13" s="34" t="s">
        <v>1163</v>
      </c>
      <c r="O13" s="34" t="s">
        <v>977</v>
      </c>
      <c r="P13" s="34" t="s">
        <v>1163</v>
      </c>
      <c r="Q13" s="35"/>
      <c r="R13" s="34" t="s">
        <v>1021</v>
      </c>
      <c r="S13" s="34" t="s">
        <v>945</v>
      </c>
      <c r="T13" s="34" t="s">
        <v>968</v>
      </c>
      <c r="U13" s="34" t="s">
        <v>177</v>
      </c>
      <c r="V13" s="34">
        <v>3</v>
      </c>
      <c r="W13" s="34" t="s">
        <v>968</v>
      </c>
      <c r="X13" s="34"/>
      <c r="Y13" s="37"/>
      <c r="Z13" s="34" t="s">
        <v>177</v>
      </c>
      <c r="AA13" s="34" t="s">
        <v>176</v>
      </c>
      <c r="AB13" s="36">
        <v>46279</v>
      </c>
      <c r="AC13" s="36">
        <v>46387</v>
      </c>
      <c r="AD13" s="36" t="s">
        <v>256</v>
      </c>
      <c r="AE13" s="36">
        <v>46127</v>
      </c>
      <c r="AF13" s="36">
        <v>46325</v>
      </c>
    </row>
    <row r="14" spans="1:32" s="5" customFormat="1" ht="24" customHeight="1">
      <c r="A14" s="4" t="s">
        <v>55</v>
      </c>
      <c r="B14" s="34" t="s">
        <v>882</v>
      </c>
      <c r="C14" s="34" t="s">
        <v>883</v>
      </c>
      <c r="D14" s="34" t="s">
        <v>46</v>
      </c>
      <c r="E14" s="34" t="s">
        <v>47</v>
      </c>
      <c r="F14" s="34">
        <v>1</v>
      </c>
      <c r="G14" s="34" t="s">
        <v>919</v>
      </c>
      <c r="H14" s="35" t="s">
        <v>402</v>
      </c>
      <c r="I14" s="34" t="s">
        <v>234</v>
      </c>
      <c r="J14" s="34" t="s">
        <v>177</v>
      </c>
      <c r="K14" s="35" t="s">
        <v>178</v>
      </c>
      <c r="L14" s="34" t="s">
        <v>177</v>
      </c>
      <c r="M14" s="34" t="s">
        <v>1163</v>
      </c>
      <c r="N14" s="34" t="s">
        <v>950</v>
      </c>
      <c r="O14" s="34" t="s">
        <v>972</v>
      </c>
      <c r="P14" s="34" t="s">
        <v>973</v>
      </c>
      <c r="Q14" s="34"/>
      <c r="R14" s="34" t="s">
        <v>984</v>
      </c>
      <c r="S14" s="34" t="s">
        <v>985</v>
      </c>
      <c r="T14" s="34" t="s">
        <v>1028</v>
      </c>
      <c r="U14" s="34" t="s">
        <v>176</v>
      </c>
      <c r="V14" s="34" t="s">
        <v>1029</v>
      </c>
      <c r="W14" s="34" t="s">
        <v>1030</v>
      </c>
      <c r="X14" s="34"/>
      <c r="Y14" s="34" t="s">
        <v>1090</v>
      </c>
      <c r="Z14" s="34" t="s">
        <v>176</v>
      </c>
      <c r="AA14" s="34" t="s">
        <v>177</v>
      </c>
      <c r="AB14" s="36">
        <v>46286</v>
      </c>
      <c r="AC14" s="36">
        <v>46477</v>
      </c>
      <c r="AD14" s="36" t="s">
        <v>1135</v>
      </c>
      <c r="AE14" s="36">
        <v>46132</v>
      </c>
      <c r="AF14" s="36">
        <v>46132</v>
      </c>
    </row>
    <row r="15" spans="1:32" s="5" customFormat="1" ht="24" customHeight="1">
      <c r="A15" s="4" t="s">
        <v>56</v>
      </c>
      <c r="B15" s="35" t="s">
        <v>884</v>
      </c>
      <c r="C15" s="35" t="s">
        <v>883</v>
      </c>
      <c r="D15" s="35" t="s">
        <v>46</v>
      </c>
      <c r="E15" s="35" t="s">
        <v>47</v>
      </c>
      <c r="F15" s="34">
        <v>1</v>
      </c>
      <c r="G15" s="38" t="s">
        <v>920</v>
      </c>
      <c r="H15" s="35" t="s">
        <v>402</v>
      </c>
      <c r="I15" s="34" t="s">
        <v>234</v>
      </c>
      <c r="J15" s="35" t="s">
        <v>177</v>
      </c>
      <c r="K15" s="35" t="s">
        <v>178</v>
      </c>
      <c r="L15" s="35" t="s">
        <v>177</v>
      </c>
      <c r="M15" s="34" t="s">
        <v>1163</v>
      </c>
      <c r="N15" s="34" t="s">
        <v>1163</v>
      </c>
      <c r="O15" s="34" t="s">
        <v>234</v>
      </c>
      <c r="P15" s="34" t="s">
        <v>1163</v>
      </c>
      <c r="Q15" s="35"/>
      <c r="R15" s="35" t="s">
        <v>231</v>
      </c>
      <c r="S15" s="38" t="s">
        <v>986</v>
      </c>
      <c r="T15" s="35" t="s">
        <v>1031</v>
      </c>
      <c r="U15" s="35" t="s">
        <v>176</v>
      </c>
      <c r="V15" s="35" t="s">
        <v>1032</v>
      </c>
      <c r="W15" s="35">
        <v>20</v>
      </c>
      <c r="X15" s="35" t="s">
        <v>1091</v>
      </c>
      <c r="Y15" s="35" t="s">
        <v>1092</v>
      </c>
      <c r="Z15" s="35" t="s">
        <v>176</v>
      </c>
      <c r="AA15" s="35" t="s">
        <v>177</v>
      </c>
      <c r="AB15" s="36">
        <v>46266</v>
      </c>
      <c r="AC15" s="36">
        <v>46418</v>
      </c>
      <c r="AD15" s="36" t="s">
        <v>1136</v>
      </c>
      <c r="AE15" s="36">
        <v>46078</v>
      </c>
      <c r="AF15" s="36">
        <v>46106</v>
      </c>
    </row>
    <row r="16" spans="1:32" s="5" customFormat="1" ht="24" customHeight="1">
      <c r="A16" s="4" t="s">
        <v>58</v>
      </c>
      <c r="B16" s="35" t="s">
        <v>885</v>
      </c>
      <c r="C16" s="35" t="s">
        <v>883</v>
      </c>
      <c r="D16" s="35" t="s">
        <v>46</v>
      </c>
      <c r="E16" s="34" t="s">
        <v>47</v>
      </c>
      <c r="F16" s="35">
        <v>2</v>
      </c>
      <c r="G16" s="39" t="s">
        <v>921</v>
      </c>
      <c r="H16" s="35" t="s">
        <v>402</v>
      </c>
      <c r="I16" s="34" t="s">
        <v>234</v>
      </c>
      <c r="J16" s="35" t="s">
        <v>177</v>
      </c>
      <c r="K16" s="35" t="s">
        <v>178</v>
      </c>
      <c r="L16" s="35" t="s">
        <v>177</v>
      </c>
      <c r="M16" s="34" t="s">
        <v>1163</v>
      </c>
      <c r="N16" s="35" t="s">
        <v>477</v>
      </c>
      <c r="O16" s="35" t="s">
        <v>974</v>
      </c>
      <c r="P16" s="35" t="s">
        <v>518</v>
      </c>
      <c r="Q16" s="35"/>
      <c r="R16" s="35" t="s">
        <v>231</v>
      </c>
      <c r="S16" s="34" t="s">
        <v>987</v>
      </c>
      <c r="T16" s="34" t="s">
        <v>231</v>
      </c>
      <c r="U16" s="34" t="s">
        <v>177</v>
      </c>
      <c r="V16" s="35" t="s">
        <v>1033</v>
      </c>
      <c r="W16" s="35" t="s">
        <v>1034</v>
      </c>
      <c r="X16" s="34" t="s">
        <v>1093</v>
      </c>
      <c r="Y16" s="39" t="s">
        <v>1094</v>
      </c>
      <c r="Z16" s="34" t="s">
        <v>177</v>
      </c>
      <c r="AA16" s="34" t="s">
        <v>176</v>
      </c>
      <c r="AB16" s="36">
        <v>46286</v>
      </c>
      <c r="AC16" s="36">
        <v>46418</v>
      </c>
      <c r="AD16" s="34" t="s">
        <v>1137</v>
      </c>
      <c r="AE16" s="36">
        <v>46142</v>
      </c>
      <c r="AF16" s="36">
        <v>46142</v>
      </c>
    </row>
    <row r="17" spans="1:32" s="5" customFormat="1" ht="24" customHeight="1">
      <c r="A17" s="4" t="s">
        <v>190</v>
      </c>
      <c r="B17" s="34" t="s">
        <v>890</v>
      </c>
      <c r="C17" s="35" t="s">
        <v>883</v>
      </c>
      <c r="D17" s="35" t="s">
        <v>46</v>
      </c>
      <c r="E17" s="34" t="s">
        <v>47</v>
      </c>
      <c r="F17" s="34">
        <v>1</v>
      </c>
      <c r="G17" s="39" t="s">
        <v>924</v>
      </c>
      <c r="H17" s="35" t="s">
        <v>402</v>
      </c>
      <c r="I17" s="34" t="s">
        <v>234</v>
      </c>
      <c r="J17" s="34" t="s">
        <v>176</v>
      </c>
      <c r="K17" s="35" t="s">
        <v>283</v>
      </c>
      <c r="L17" s="35" t="s">
        <v>177</v>
      </c>
      <c r="M17" s="35" t="s">
        <v>953</v>
      </c>
      <c r="N17" s="41" t="s">
        <v>954</v>
      </c>
      <c r="O17" s="41" t="s">
        <v>975</v>
      </c>
      <c r="P17" s="35" t="s">
        <v>976</v>
      </c>
      <c r="Q17" s="35"/>
      <c r="R17" s="35" t="s">
        <v>991</v>
      </c>
      <c r="S17" s="35" t="s">
        <v>924</v>
      </c>
      <c r="T17" s="35" t="s">
        <v>348</v>
      </c>
      <c r="U17" s="34" t="s">
        <v>177</v>
      </c>
      <c r="V17" s="35" t="s">
        <v>1039</v>
      </c>
      <c r="W17" s="35" t="s">
        <v>1040</v>
      </c>
      <c r="X17" s="41"/>
      <c r="Y17" s="39" t="s">
        <v>1099</v>
      </c>
      <c r="Z17" s="35" t="s">
        <v>176</v>
      </c>
      <c r="AA17" s="35" t="s">
        <v>177</v>
      </c>
      <c r="AB17" s="36">
        <v>46288</v>
      </c>
      <c r="AC17" s="36">
        <v>46415</v>
      </c>
      <c r="AD17" s="34" t="s">
        <v>1139</v>
      </c>
      <c r="AE17" s="36">
        <v>46143</v>
      </c>
      <c r="AF17" s="36">
        <v>46157</v>
      </c>
    </row>
    <row r="18" spans="1:32" s="5" customFormat="1" ht="24" customHeight="1">
      <c r="A18" s="4" t="s">
        <v>175</v>
      </c>
      <c r="B18" s="35" t="s">
        <v>891</v>
      </c>
      <c r="C18" s="35" t="s">
        <v>883</v>
      </c>
      <c r="D18" s="35" t="s">
        <v>46</v>
      </c>
      <c r="E18" s="34" t="s">
        <v>47</v>
      </c>
      <c r="F18" s="35">
        <v>1</v>
      </c>
      <c r="G18" s="39" t="s">
        <v>925</v>
      </c>
      <c r="H18" s="35" t="s">
        <v>402</v>
      </c>
      <c r="I18" s="34" t="s">
        <v>234</v>
      </c>
      <c r="J18" s="35" t="s">
        <v>177</v>
      </c>
      <c r="K18" s="35" t="s">
        <v>178</v>
      </c>
      <c r="L18" s="35" t="s">
        <v>177</v>
      </c>
      <c r="M18" s="35" t="s">
        <v>955</v>
      </c>
      <c r="N18" s="34" t="s">
        <v>1163</v>
      </c>
      <c r="O18" s="34" t="s">
        <v>1163</v>
      </c>
      <c r="P18" s="34" t="s">
        <v>1163</v>
      </c>
      <c r="Q18" s="38"/>
      <c r="R18" s="35" t="s">
        <v>229</v>
      </c>
      <c r="S18" s="35" t="s">
        <v>925</v>
      </c>
      <c r="T18" s="38" t="s">
        <v>1041</v>
      </c>
      <c r="U18" s="34" t="s">
        <v>177</v>
      </c>
      <c r="V18" s="35" t="s">
        <v>341</v>
      </c>
      <c r="W18" s="35" t="s">
        <v>341</v>
      </c>
      <c r="X18" s="35" t="s">
        <v>1100</v>
      </c>
      <c r="Y18" s="34" t="s">
        <v>1101</v>
      </c>
      <c r="Z18" s="34" t="s">
        <v>176</v>
      </c>
      <c r="AA18" s="34" t="s">
        <v>177</v>
      </c>
      <c r="AB18" s="36">
        <v>46296</v>
      </c>
      <c r="AC18" s="36">
        <v>46446</v>
      </c>
      <c r="AD18" s="34" t="s">
        <v>228</v>
      </c>
      <c r="AE18" s="36">
        <v>46152</v>
      </c>
      <c r="AF18" s="36">
        <v>46152</v>
      </c>
    </row>
    <row r="19" spans="1:32" s="5" customFormat="1" ht="24" customHeight="1">
      <c r="A19" s="4" t="s">
        <v>59</v>
      </c>
      <c r="B19" s="34" t="s">
        <v>892</v>
      </c>
      <c r="C19" s="34" t="s">
        <v>883</v>
      </c>
      <c r="D19" s="35" t="s">
        <v>46</v>
      </c>
      <c r="E19" s="34" t="s">
        <v>47</v>
      </c>
      <c r="F19" s="34">
        <v>1</v>
      </c>
      <c r="G19" s="40" t="s">
        <v>926</v>
      </c>
      <c r="H19" s="35" t="s">
        <v>402</v>
      </c>
      <c r="I19" s="34" t="s">
        <v>234</v>
      </c>
      <c r="J19" s="34" t="s">
        <v>177</v>
      </c>
      <c r="K19" s="34" t="s">
        <v>178</v>
      </c>
      <c r="L19" s="35" t="s">
        <v>177</v>
      </c>
      <c r="M19" s="34" t="s">
        <v>956</v>
      </c>
      <c r="N19" s="34">
        <v>61</v>
      </c>
      <c r="O19" s="35">
        <v>500</v>
      </c>
      <c r="P19" s="34" t="s">
        <v>231</v>
      </c>
      <c r="Q19" s="35"/>
      <c r="R19" s="34" t="s">
        <v>992</v>
      </c>
      <c r="S19" s="34" t="s">
        <v>993</v>
      </c>
      <c r="T19" s="34" t="s">
        <v>1042</v>
      </c>
      <c r="U19" s="34" t="s">
        <v>177</v>
      </c>
      <c r="V19" s="34" t="s">
        <v>1043</v>
      </c>
      <c r="W19" s="34" t="s">
        <v>229</v>
      </c>
      <c r="X19" s="34" t="s">
        <v>1102</v>
      </c>
      <c r="Y19" s="40" t="s">
        <v>1103</v>
      </c>
      <c r="Z19" s="34" t="s">
        <v>177</v>
      </c>
      <c r="AA19" s="34" t="s">
        <v>177</v>
      </c>
      <c r="AB19" s="36">
        <v>46296</v>
      </c>
      <c r="AC19" s="36">
        <v>46477</v>
      </c>
      <c r="AD19" s="34" t="s">
        <v>1140</v>
      </c>
      <c r="AE19" s="36">
        <v>46087</v>
      </c>
      <c r="AF19" s="36">
        <v>46115</v>
      </c>
    </row>
    <row r="20" spans="1:32" s="5" customFormat="1" ht="24" customHeight="1">
      <c r="A20" s="4" t="s">
        <v>60</v>
      </c>
      <c r="B20" s="34" t="s">
        <v>893</v>
      </c>
      <c r="C20" s="34" t="s">
        <v>883</v>
      </c>
      <c r="D20" s="35" t="s">
        <v>46</v>
      </c>
      <c r="E20" s="34" t="s">
        <v>47</v>
      </c>
      <c r="F20" s="34">
        <v>1</v>
      </c>
      <c r="G20" s="40" t="s">
        <v>927</v>
      </c>
      <c r="H20" s="35" t="s">
        <v>402</v>
      </c>
      <c r="I20" s="34" t="s">
        <v>234</v>
      </c>
      <c r="J20" s="35" t="s">
        <v>177</v>
      </c>
      <c r="K20" s="35" t="s">
        <v>178</v>
      </c>
      <c r="L20" s="35" t="s">
        <v>177</v>
      </c>
      <c r="M20" s="34" t="s">
        <v>182</v>
      </c>
      <c r="N20" s="34">
        <v>79</v>
      </c>
      <c r="O20" s="35">
        <v>550</v>
      </c>
      <c r="P20" s="34">
        <v>6</v>
      </c>
      <c r="Q20" s="35"/>
      <c r="R20" s="34"/>
      <c r="S20" s="34" t="s">
        <v>994</v>
      </c>
      <c r="T20" s="42" t="s">
        <v>1044</v>
      </c>
      <c r="U20" s="34" t="s">
        <v>177</v>
      </c>
      <c r="V20" s="34" t="s">
        <v>1045</v>
      </c>
      <c r="W20" s="34" t="s">
        <v>1046</v>
      </c>
      <c r="X20" s="34" t="s">
        <v>1104</v>
      </c>
      <c r="Y20" s="34" t="s">
        <v>1105</v>
      </c>
      <c r="Z20" s="34" t="s">
        <v>176</v>
      </c>
      <c r="AA20" s="34" t="s">
        <v>177</v>
      </c>
      <c r="AB20" s="36">
        <v>46286</v>
      </c>
      <c r="AC20" s="36">
        <v>46418</v>
      </c>
      <c r="AD20" s="34" t="s">
        <v>1141</v>
      </c>
      <c r="AE20" s="36">
        <v>46122</v>
      </c>
      <c r="AF20" s="36">
        <v>46132</v>
      </c>
    </row>
    <row r="21" spans="1:32" s="5" customFormat="1" ht="24" customHeight="1">
      <c r="A21" s="4" t="s">
        <v>63</v>
      </c>
      <c r="B21" s="34" t="s">
        <v>894</v>
      </c>
      <c r="C21" s="35" t="s">
        <v>883</v>
      </c>
      <c r="D21" s="35" t="s">
        <v>46</v>
      </c>
      <c r="E21" s="34" t="s">
        <v>47</v>
      </c>
      <c r="F21" s="34">
        <v>1</v>
      </c>
      <c r="G21" s="34" t="s">
        <v>928</v>
      </c>
      <c r="H21" s="35" t="s">
        <v>402</v>
      </c>
      <c r="I21" s="34" t="s">
        <v>234</v>
      </c>
      <c r="J21" s="35" t="s">
        <v>177</v>
      </c>
      <c r="K21" s="34" t="s">
        <v>283</v>
      </c>
      <c r="L21" s="35" t="s">
        <v>177</v>
      </c>
      <c r="M21" s="34" t="s">
        <v>1163</v>
      </c>
      <c r="N21" s="34" t="s">
        <v>1163</v>
      </c>
      <c r="O21" s="35" t="s">
        <v>977</v>
      </c>
      <c r="P21" s="34" t="s">
        <v>1163</v>
      </c>
      <c r="Q21" s="35"/>
      <c r="R21" s="34" t="s">
        <v>995</v>
      </c>
      <c r="S21" s="34" t="s">
        <v>996</v>
      </c>
      <c r="T21" s="34" t="s">
        <v>957</v>
      </c>
      <c r="U21" s="34" t="s">
        <v>176</v>
      </c>
      <c r="V21" s="34" t="s">
        <v>1047</v>
      </c>
      <c r="W21" s="34" t="s">
        <v>1048</v>
      </c>
      <c r="X21" s="34" t="s">
        <v>1106</v>
      </c>
      <c r="Y21" s="34" t="s">
        <v>1107</v>
      </c>
      <c r="Z21" s="35" t="s">
        <v>177</v>
      </c>
      <c r="AA21" s="35" t="s">
        <v>176</v>
      </c>
      <c r="AB21" s="36">
        <v>46304</v>
      </c>
      <c r="AC21" s="36">
        <v>46413</v>
      </c>
      <c r="AD21" s="36" t="s">
        <v>1142</v>
      </c>
      <c r="AE21" s="36">
        <v>46150</v>
      </c>
      <c r="AF21" s="36">
        <v>46150</v>
      </c>
    </row>
    <row r="22" spans="1:32" s="5" customFormat="1" ht="24" customHeight="1">
      <c r="A22" s="4" t="s">
        <v>64</v>
      </c>
      <c r="B22" s="35" t="s">
        <v>895</v>
      </c>
      <c r="C22" s="35" t="s">
        <v>883</v>
      </c>
      <c r="D22" s="35" t="s">
        <v>46</v>
      </c>
      <c r="E22" s="35" t="s">
        <v>47</v>
      </c>
      <c r="F22" s="34">
        <v>1</v>
      </c>
      <c r="G22" s="35" t="s">
        <v>929</v>
      </c>
      <c r="H22" s="35" t="s">
        <v>402</v>
      </c>
      <c r="I22" s="34" t="s">
        <v>234</v>
      </c>
      <c r="J22" s="35" t="s">
        <v>176</v>
      </c>
      <c r="K22" s="35" t="s">
        <v>283</v>
      </c>
      <c r="L22" s="35" t="s">
        <v>177</v>
      </c>
      <c r="M22" s="34" t="s">
        <v>1163</v>
      </c>
      <c r="N22" s="35" t="s">
        <v>958</v>
      </c>
      <c r="O22" s="35" t="s">
        <v>977</v>
      </c>
      <c r="P22" s="35" t="s">
        <v>978</v>
      </c>
      <c r="Q22" s="35"/>
      <c r="R22" s="35" t="s">
        <v>997</v>
      </c>
      <c r="S22" s="35" t="s">
        <v>998</v>
      </c>
      <c r="T22" s="35" t="s">
        <v>1049</v>
      </c>
      <c r="U22" s="35" t="s">
        <v>177</v>
      </c>
      <c r="V22" s="35" t="s">
        <v>1050</v>
      </c>
      <c r="W22" s="35" t="s">
        <v>1051</v>
      </c>
      <c r="X22" s="35" t="s">
        <v>1108</v>
      </c>
      <c r="Y22" s="35" t="s">
        <v>1109</v>
      </c>
      <c r="Z22" s="35" t="s">
        <v>176</v>
      </c>
      <c r="AA22" s="35" t="s">
        <v>177</v>
      </c>
      <c r="AB22" s="36">
        <v>46289</v>
      </c>
      <c r="AC22" s="36">
        <v>46413</v>
      </c>
      <c r="AD22" s="36" t="s">
        <v>1143</v>
      </c>
      <c r="AE22" s="36">
        <v>46159</v>
      </c>
      <c r="AF22" s="36">
        <v>46172</v>
      </c>
    </row>
    <row r="23" spans="1:32" s="5" customFormat="1" ht="24" customHeight="1">
      <c r="A23" s="4" t="s">
        <v>65</v>
      </c>
      <c r="B23" s="34" t="s">
        <v>896</v>
      </c>
      <c r="C23" s="34" t="s">
        <v>883</v>
      </c>
      <c r="D23" s="35" t="s">
        <v>46</v>
      </c>
      <c r="E23" s="34" t="s">
        <v>47</v>
      </c>
      <c r="F23" s="34">
        <v>2</v>
      </c>
      <c r="G23" s="34" t="s">
        <v>930</v>
      </c>
      <c r="H23" s="35" t="s">
        <v>402</v>
      </c>
      <c r="I23" s="34" t="s">
        <v>234</v>
      </c>
      <c r="J23" s="35" t="s">
        <v>177</v>
      </c>
      <c r="K23" s="35" t="s">
        <v>178</v>
      </c>
      <c r="L23" s="35" t="s">
        <v>176</v>
      </c>
      <c r="M23" s="34" t="s">
        <v>959</v>
      </c>
      <c r="N23" s="34" t="s">
        <v>1163</v>
      </c>
      <c r="O23" s="34" t="s">
        <v>977</v>
      </c>
      <c r="P23" s="34" t="s">
        <v>1163</v>
      </c>
      <c r="Q23" s="35"/>
      <c r="R23" s="34" t="s">
        <v>229</v>
      </c>
      <c r="S23" s="34" t="s">
        <v>999</v>
      </c>
      <c r="T23" s="34" t="s">
        <v>1052</v>
      </c>
      <c r="U23" s="34" t="s">
        <v>176</v>
      </c>
      <c r="V23" s="34" t="s">
        <v>1053</v>
      </c>
      <c r="W23" s="34" t="s">
        <v>1054</v>
      </c>
      <c r="X23" s="34" t="s">
        <v>1110</v>
      </c>
      <c r="Y23" s="37" t="s">
        <v>1111</v>
      </c>
      <c r="Z23" s="34" t="s">
        <v>177</v>
      </c>
      <c r="AA23" s="34" t="s">
        <v>176</v>
      </c>
      <c r="AB23" s="36">
        <v>46267</v>
      </c>
      <c r="AC23" s="36">
        <v>46406</v>
      </c>
      <c r="AD23" s="36" t="s">
        <v>1144</v>
      </c>
      <c r="AE23" s="36">
        <v>46122</v>
      </c>
      <c r="AF23" s="36">
        <v>46142</v>
      </c>
    </row>
    <row r="24" spans="1:32" s="5" customFormat="1" ht="24" customHeight="1">
      <c r="A24" s="4" t="s">
        <v>66</v>
      </c>
      <c r="B24" s="34" t="s">
        <v>899</v>
      </c>
      <c r="C24" s="34" t="s">
        <v>883</v>
      </c>
      <c r="D24" s="35" t="s">
        <v>46</v>
      </c>
      <c r="E24" s="34" t="s">
        <v>47</v>
      </c>
      <c r="F24" s="47">
        <v>2</v>
      </c>
      <c r="G24" s="37" t="s">
        <v>933</v>
      </c>
      <c r="H24" s="35" t="s">
        <v>402</v>
      </c>
      <c r="I24" s="34" t="s">
        <v>234</v>
      </c>
      <c r="J24" s="35" t="s">
        <v>177</v>
      </c>
      <c r="K24" s="35" t="s">
        <v>178</v>
      </c>
      <c r="L24" s="35" t="s">
        <v>177</v>
      </c>
      <c r="M24" s="34" t="s">
        <v>962</v>
      </c>
      <c r="N24" s="34">
        <v>79</v>
      </c>
      <c r="O24" s="34" t="s">
        <v>231</v>
      </c>
      <c r="P24" s="34" t="s">
        <v>231</v>
      </c>
      <c r="Q24" s="34"/>
      <c r="R24" s="34" t="s">
        <v>1003</v>
      </c>
      <c r="S24" s="34" t="s">
        <v>1004</v>
      </c>
      <c r="T24" s="34" t="s">
        <v>1061</v>
      </c>
      <c r="U24" s="34" t="s">
        <v>177</v>
      </c>
      <c r="V24" s="34" t="s">
        <v>1062</v>
      </c>
      <c r="W24" s="34" t="s">
        <v>1063</v>
      </c>
      <c r="X24" s="34" t="s">
        <v>1116</v>
      </c>
      <c r="Y24" s="37" t="s">
        <v>1117</v>
      </c>
      <c r="Z24" s="34" t="s">
        <v>177</v>
      </c>
      <c r="AA24" s="34" t="s">
        <v>176</v>
      </c>
      <c r="AB24" s="36">
        <v>46295</v>
      </c>
      <c r="AC24" s="36">
        <v>46304</v>
      </c>
      <c r="AD24" s="34" t="s">
        <v>1147</v>
      </c>
      <c r="AE24" s="36">
        <v>46081</v>
      </c>
      <c r="AF24" s="36">
        <v>46087</v>
      </c>
    </row>
    <row r="25" spans="1:32" s="5" customFormat="1" ht="24" customHeight="1">
      <c r="A25" s="4" t="s">
        <v>67</v>
      </c>
      <c r="B25" s="34" t="s">
        <v>900</v>
      </c>
      <c r="C25" s="34" t="s">
        <v>883</v>
      </c>
      <c r="D25" s="35" t="s">
        <v>46</v>
      </c>
      <c r="E25" s="48" t="s">
        <v>47</v>
      </c>
      <c r="F25" s="52">
        <v>2</v>
      </c>
      <c r="G25" s="49" t="s">
        <v>934</v>
      </c>
      <c r="H25" s="35" t="s">
        <v>402</v>
      </c>
      <c r="I25" s="34" t="s">
        <v>234</v>
      </c>
      <c r="J25" s="35" t="s">
        <v>177</v>
      </c>
      <c r="K25" s="35" t="s">
        <v>178</v>
      </c>
      <c r="L25" s="35" t="s">
        <v>177</v>
      </c>
      <c r="M25" s="34" t="s">
        <v>1163</v>
      </c>
      <c r="N25" s="34" t="s">
        <v>1163</v>
      </c>
      <c r="O25" s="34" t="s">
        <v>977</v>
      </c>
      <c r="P25" s="34" t="s">
        <v>1163</v>
      </c>
      <c r="Q25" s="34"/>
      <c r="R25" s="34" t="s">
        <v>991</v>
      </c>
      <c r="S25" s="37" t="s">
        <v>1005</v>
      </c>
      <c r="T25" s="34" t="s">
        <v>1064</v>
      </c>
      <c r="U25" s="34" t="s">
        <v>177</v>
      </c>
      <c r="V25" s="34" t="s">
        <v>1065</v>
      </c>
      <c r="W25" s="34" t="s">
        <v>1066</v>
      </c>
      <c r="X25" s="34" t="s">
        <v>1118</v>
      </c>
      <c r="Y25" s="37" t="s">
        <v>1119</v>
      </c>
      <c r="Z25" s="34" t="s">
        <v>177</v>
      </c>
      <c r="AA25" s="34" t="s">
        <v>176</v>
      </c>
      <c r="AB25" s="36">
        <v>46296</v>
      </c>
      <c r="AC25" s="36">
        <v>46477</v>
      </c>
      <c r="AD25" s="34" t="s">
        <v>1148</v>
      </c>
      <c r="AE25" s="36">
        <v>46142</v>
      </c>
      <c r="AF25" s="36">
        <v>46142</v>
      </c>
    </row>
    <row r="26" spans="1:32" s="5" customFormat="1" ht="24" customHeight="1">
      <c r="A26" s="4" t="s">
        <v>68</v>
      </c>
      <c r="B26" s="35" t="s">
        <v>901</v>
      </c>
      <c r="C26" s="34" t="s">
        <v>883</v>
      </c>
      <c r="D26" s="35" t="s">
        <v>46</v>
      </c>
      <c r="E26" s="48" t="s">
        <v>47</v>
      </c>
      <c r="F26" s="82" t="s">
        <v>918</v>
      </c>
      <c r="G26" s="50" t="s">
        <v>935</v>
      </c>
      <c r="H26" s="35" t="s">
        <v>402</v>
      </c>
      <c r="I26" s="34" t="s">
        <v>234</v>
      </c>
      <c r="J26" s="35" t="s">
        <v>176</v>
      </c>
      <c r="K26" s="35" t="s">
        <v>178</v>
      </c>
      <c r="L26" s="35" t="s">
        <v>177</v>
      </c>
      <c r="M26" s="35" t="s">
        <v>1164</v>
      </c>
      <c r="N26" s="34" t="s">
        <v>1163</v>
      </c>
      <c r="O26" s="35" t="s">
        <v>977</v>
      </c>
      <c r="P26" s="34" t="s">
        <v>1163</v>
      </c>
      <c r="Q26" s="35"/>
      <c r="R26" s="35" t="s">
        <v>1006</v>
      </c>
      <c r="S26" s="35" t="s">
        <v>1007</v>
      </c>
      <c r="T26" s="34" t="s">
        <v>1067</v>
      </c>
      <c r="U26" s="34" t="s">
        <v>177</v>
      </c>
      <c r="V26" s="35" t="s">
        <v>1068</v>
      </c>
      <c r="W26" s="34" t="s">
        <v>180</v>
      </c>
      <c r="X26" s="35" t="s">
        <v>1120</v>
      </c>
      <c r="Y26" s="37" t="s">
        <v>935</v>
      </c>
      <c r="Z26" s="35" t="s">
        <v>177</v>
      </c>
      <c r="AA26" s="34" t="s">
        <v>177</v>
      </c>
      <c r="AB26" s="36">
        <v>46296</v>
      </c>
      <c r="AC26" s="36">
        <v>46446</v>
      </c>
      <c r="AD26" s="34" t="s">
        <v>1149</v>
      </c>
      <c r="AE26" s="36">
        <v>46013</v>
      </c>
      <c r="AF26" s="36">
        <v>46059</v>
      </c>
    </row>
    <row r="27" spans="1:32" s="5" customFormat="1" ht="24" customHeight="1">
      <c r="A27" s="4" t="s">
        <v>69</v>
      </c>
      <c r="B27" s="34" t="s">
        <v>902</v>
      </c>
      <c r="C27" s="34" t="s">
        <v>883</v>
      </c>
      <c r="D27" s="34" t="s">
        <v>46</v>
      </c>
      <c r="E27" s="48" t="s">
        <v>47</v>
      </c>
      <c r="F27" s="82"/>
      <c r="G27" s="49" t="s">
        <v>936</v>
      </c>
      <c r="H27" s="35" t="s">
        <v>402</v>
      </c>
      <c r="I27" s="34" t="s">
        <v>234</v>
      </c>
      <c r="J27" s="35" t="s">
        <v>176</v>
      </c>
      <c r="K27" s="35" t="s">
        <v>178</v>
      </c>
      <c r="L27" s="35" t="s">
        <v>177</v>
      </c>
      <c r="M27" s="35" t="s">
        <v>182</v>
      </c>
      <c r="N27" s="35" t="s">
        <v>963</v>
      </c>
      <c r="O27" s="35" t="s">
        <v>977</v>
      </c>
      <c r="P27" s="35" t="s">
        <v>979</v>
      </c>
      <c r="Q27" s="35"/>
      <c r="R27" s="34" t="s">
        <v>231</v>
      </c>
      <c r="S27" s="34" t="s">
        <v>1008</v>
      </c>
      <c r="T27" s="34" t="s">
        <v>1069</v>
      </c>
      <c r="U27" s="35" t="s">
        <v>177</v>
      </c>
      <c r="V27" s="34" t="s">
        <v>1068</v>
      </c>
      <c r="W27" s="34" t="s">
        <v>180</v>
      </c>
      <c r="X27" s="34" t="s">
        <v>231</v>
      </c>
      <c r="Y27" s="37" t="s">
        <v>936</v>
      </c>
      <c r="Z27" s="34" t="s">
        <v>177</v>
      </c>
      <c r="AA27" s="35" t="s">
        <v>177</v>
      </c>
      <c r="AB27" s="36">
        <v>46296</v>
      </c>
      <c r="AC27" s="36">
        <v>46446</v>
      </c>
      <c r="AD27" s="34" t="s">
        <v>1149</v>
      </c>
      <c r="AE27" s="36">
        <v>46013</v>
      </c>
      <c r="AF27" s="36">
        <v>46059</v>
      </c>
    </row>
    <row r="28" spans="1:32" s="6" customFormat="1" ht="24" customHeight="1">
      <c r="A28" s="4" t="s">
        <v>70</v>
      </c>
      <c r="B28" s="35" t="s">
        <v>903</v>
      </c>
      <c r="C28" s="34" t="s">
        <v>883</v>
      </c>
      <c r="D28" s="35" t="s">
        <v>46</v>
      </c>
      <c r="E28" s="48" t="s">
        <v>47</v>
      </c>
      <c r="F28" s="82"/>
      <c r="G28" s="50" t="s">
        <v>937</v>
      </c>
      <c r="H28" s="35" t="s">
        <v>402</v>
      </c>
      <c r="I28" s="34" t="s">
        <v>234</v>
      </c>
      <c r="J28" s="35" t="s">
        <v>177</v>
      </c>
      <c r="K28" s="34" t="s">
        <v>178</v>
      </c>
      <c r="L28" s="35" t="s">
        <v>176</v>
      </c>
      <c r="M28" s="34" t="s">
        <v>1163</v>
      </c>
      <c r="N28" s="34" t="s">
        <v>1163</v>
      </c>
      <c r="O28" s="34" t="s">
        <v>1163</v>
      </c>
      <c r="P28" s="34" t="s">
        <v>1163</v>
      </c>
      <c r="Q28" s="35"/>
      <c r="R28" s="35" t="s">
        <v>1009</v>
      </c>
      <c r="S28" s="34" t="s">
        <v>1010</v>
      </c>
      <c r="T28" s="34" t="s">
        <v>231</v>
      </c>
      <c r="U28" s="35" t="s">
        <v>177</v>
      </c>
      <c r="V28" s="35" t="s">
        <v>1070</v>
      </c>
      <c r="W28" s="34" t="s">
        <v>1071</v>
      </c>
      <c r="X28" s="35" t="s">
        <v>1121</v>
      </c>
      <c r="Y28" s="37" t="s">
        <v>1122</v>
      </c>
      <c r="Z28" s="34" t="s">
        <v>177</v>
      </c>
      <c r="AA28" s="35" t="s">
        <v>176</v>
      </c>
      <c r="AB28" s="36">
        <v>46296</v>
      </c>
      <c r="AC28" s="36">
        <v>46477</v>
      </c>
      <c r="AD28" s="34" t="s">
        <v>1150</v>
      </c>
      <c r="AE28" s="36">
        <v>46127</v>
      </c>
      <c r="AF28" s="36">
        <v>46143</v>
      </c>
    </row>
    <row r="29" spans="1:32" s="6" customFormat="1" ht="24" customHeight="1">
      <c r="A29" s="4" t="s">
        <v>192</v>
      </c>
      <c r="B29" s="34" t="s">
        <v>913</v>
      </c>
      <c r="C29" s="35" t="s">
        <v>883</v>
      </c>
      <c r="D29" s="35" t="s">
        <v>46</v>
      </c>
      <c r="E29" s="34" t="s">
        <v>47</v>
      </c>
      <c r="F29" s="51">
        <v>1</v>
      </c>
      <c r="G29" s="37" t="s">
        <v>946</v>
      </c>
      <c r="H29" s="35" t="s">
        <v>402</v>
      </c>
      <c r="I29" s="34" t="s">
        <v>234</v>
      </c>
      <c r="J29" s="34" t="s">
        <v>177</v>
      </c>
      <c r="K29" s="35" t="s">
        <v>178</v>
      </c>
      <c r="L29" s="35" t="s">
        <v>177</v>
      </c>
      <c r="M29" s="34" t="s">
        <v>181</v>
      </c>
      <c r="N29" s="35">
        <v>72</v>
      </c>
      <c r="O29" s="34" t="s">
        <v>982</v>
      </c>
      <c r="P29" s="34">
        <v>5.5</v>
      </c>
      <c r="Q29" s="35"/>
      <c r="R29" s="34" t="s">
        <v>1022</v>
      </c>
      <c r="S29" s="34" t="s">
        <v>1023</v>
      </c>
      <c r="T29" s="34" t="s">
        <v>1081</v>
      </c>
      <c r="U29" s="34" t="s">
        <v>177</v>
      </c>
      <c r="V29" s="34" t="s">
        <v>1082</v>
      </c>
      <c r="W29" s="34" t="s">
        <v>1083</v>
      </c>
      <c r="X29" s="34" t="s">
        <v>1129</v>
      </c>
      <c r="Y29" s="37" t="s">
        <v>1130</v>
      </c>
      <c r="Z29" s="34" t="s">
        <v>176</v>
      </c>
      <c r="AA29" s="34" t="s">
        <v>177</v>
      </c>
      <c r="AB29" s="36">
        <v>46294</v>
      </c>
      <c r="AC29" s="36">
        <v>46417</v>
      </c>
      <c r="AD29" s="36" t="s">
        <v>1154</v>
      </c>
      <c r="AE29" s="36">
        <v>46081</v>
      </c>
      <c r="AF29" s="36">
        <v>46098</v>
      </c>
    </row>
    <row r="30" spans="1:32" s="6" customFormat="1" ht="24" customHeight="1">
      <c r="A30" s="4" t="s">
        <v>71</v>
      </c>
      <c r="B30" s="34" t="s">
        <v>917</v>
      </c>
      <c r="C30" s="35" t="s">
        <v>883</v>
      </c>
      <c r="D30" s="35" t="s">
        <v>883</v>
      </c>
      <c r="E30" s="34" t="s">
        <v>47</v>
      </c>
      <c r="F30" s="34">
        <v>2</v>
      </c>
      <c r="G30" s="37" t="s">
        <v>949</v>
      </c>
      <c r="H30" s="35" t="s">
        <v>402</v>
      </c>
      <c r="I30" s="34" t="s">
        <v>234</v>
      </c>
      <c r="J30" s="34" t="s">
        <v>177</v>
      </c>
      <c r="K30" s="35" t="s">
        <v>283</v>
      </c>
      <c r="L30" s="35" t="s">
        <v>177</v>
      </c>
      <c r="M30" s="34" t="s">
        <v>181</v>
      </c>
      <c r="N30" s="35">
        <v>61</v>
      </c>
      <c r="O30" s="34" t="s">
        <v>517</v>
      </c>
      <c r="P30" s="34">
        <v>6</v>
      </c>
      <c r="Q30" s="35"/>
      <c r="R30" s="34" t="s">
        <v>1026</v>
      </c>
      <c r="S30" s="34" t="s">
        <v>1027</v>
      </c>
      <c r="T30" s="34" t="s">
        <v>1087</v>
      </c>
      <c r="U30" s="34" t="s">
        <v>176</v>
      </c>
      <c r="V30" s="34" t="s">
        <v>1088</v>
      </c>
      <c r="W30" s="34" t="s">
        <v>1089</v>
      </c>
      <c r="X30" s="34"/>
      <c r="Y30" s="37" t="s">
        <v>1027</v>
      </c>
      <c r="Z30" s="34" t="s">
        <v>176</v>
      </c>
      <c r="AA30" s="34" t="s">
        <v>177</v>
      </c>
      <c r="AB30" s="36">
        <v>46279</v>
      </c>
      <c r="AC30" s="36">
        <v>46423</v>
      </c>
      <c r="AD30" s="36" t="s">
        <v>1162</v>
      </c>
      <c r="AE30" s="36">
        <v>46080</v>
      </c>
      <c r="AF30" s="36">
        <v>46101</v>
      </c>
    </row>
    <row r="31" spans="1:32" s="5" customFormat="1" ht="24" customHeight="1">
      <c r="A31" s="4" t="s">
        <v>72</v>
      </c>
      <c r="B31" s="34" t="s">
        <v>907</v>
      </c>
      <c r="C31" s="34" t="s">
        <v>908</v>
      </c>
      <c r="D31" s="35" t="s">
        <v>46</v>
      </c>
      <c r="E31" s="34" t="s">
        <v>47</v>
      </c>
      <c r="F31" s="34">
        <v>2</v>
      </c>
      <c r="G31" s="34" t="s">
        <v>941</v>
      </c>
      <c r="H31" s="35" t="s">
        <v>402</v>
      </c>
      <c r="I31" s="34" t="s">
        <v>234</v>
      </c>
      <c r="J31" s="34" t="s">
        <v>177</v>
      </c>
      <c r="K31" s="35"/>
      <c r="L31" s="35"/>
      <c r="M31" s="34" t="s">
        <v>1163</v>
      </c>
      <c r="N31" s="35" t="s">
        <v>965</v>
      </c>
      <c r="O31" s="35" t="s">
        <v>977</v>
      </c>
      <c r="P31" s="35" t="s">
        <v>965</v>
      </c>
      <c r="Q31" s="34" t="s">
        <v>965</v>
      </c>
      <c r="R31" s="34" t="s">
        <v>1016</v>
      </c>
      <c r="S31" s="34" t="s">
        <v>1005</v>
      </c>
      <c r="T31" s="34" t="s">
        <v>1077</v>
      </c>
      <c r="U31" s="34" t="s">
        <v>177</v>
      </c>
      <c r="V31" s="34" t="s">
        <v>1078</v>
      </c>
      <c r="W31" s="34" t="s">
        <v>1078</v>
      </c>
      <c r="X31" s="34" t="s">
        <v>1125</v>
      </c>
      <c r="Y31" s="37" t="s">
        <v>1126</v>
      </c>
      <c r="Z31" s="35" t="s">
        <v>177</v>
      </c>
      <c r="AA31" s="34" t="s">
        <v>176</v>
      </c>
      <c r="AB31" s="36">
        <v>46280</v>
      </c>
      <c r="AC31" s="36">
        <v>46438</v>
      </c>
      <c r="AD31" s="36"/>
      <c r="AE31" s="36"/>
      <c r="AF31" s="36"/>
    </row>
    <row r="32" spans="1:32" s="5" customFormat="1" ht="24" customHeight="1">
      <c r="A32" s="4" t="s">
        <v>73</v>
      </c>
      <c r="B32" s="35" t="s">
        <v>909</v>
      </c>
      <c r="C32" s="35" t="s">
        <v>908</v>
      </c>
      <c r="D32" s="35" t="s">
        <v>46</v>
      </c>
      <c r="E32" s="35" t="s">
        <v>54</v>
      </c>
      <c r="F32" s="35">
        <v>2</v>
      </c>
      <c r="G32" s="37" t="s">
        <v>942</v>
      </c>
      <c r="H32" s="35" t="s">
        <v>402</v>
      </c>
      <c r="I32" s="34" t="s">
        <v>234</v>
      </c>
      <c r="J32" s="34" t="s">
        <v>177</v>
      </c>
      <c r="K32" s="35" t="s">
        <v>178</v>
      </c>
      <c r="L32" s="35" t="s">
        <v>177</v>
      </c>
      <c r="M32" s="35" t="s">
        <v>182</v>
      </c>
      <c r="N32" s="34" t="s">
        <v>966</v>
      </c>
      <c r="O32" s="34" t="s">
        <v>231</v>
      </c>
      <c r="P32" s="34" t="s">
        <v>981</v>
      </c>
      <c r="Q32" s="35"/>
      <c r="R32" s="35" t="s">
        <v>1017</v>
      </c>
      <c r="S32" s="34" t="s">
        <v>1018</v>
      </c>
      <c r="T32" s="35" t="s">
        <v>1079</v>
      </c>
      <c r="U32" s="34" t="s">
        <v>177</v>
      </c>
      <c r="V32" s="35" t="s">
        <v>1080</v>
      </c>
      <c r="W32" s="35" t="s">
        <v>1080</v>
      </c>
      <c r="X32" s="35" t="s">
        <v>1080</v>
      </c>
      <c r="Y32" s="38" t="s">
        <v>1127</v>
      </c>
      <c r="Z32" s="35" t="s">
        <v>177</v>
      </c>
      <c r="AA32" s="35" t="s">
        <v>177</v>
      </c>
      <c r="AB32" s="36">
        <v>46296</v>
      </c>
      <c r="AC32" s="36">
        <v>46426</v>
      </c>
      <c r="AD32" s="36" t="s">
        <v>1152</v>
      </c>
      <c r="AE32" s="36">
        <v>46081</v>
      </c>
      <c r="AF32" s="36">
        <v>46094</v>
      </c>
    </row>
    <row r="33" spans="1:32" s="5" customFormat="1" ht="24" customHeight="1">
      <c r="A33" s="4" t="s">
        <v>74</v>
      </c>
      <c r="B33" s="35" t="s">
        <v>886</v>
      </c>
      <c r="C33" s="35" t="s">
        <v>887</v>
      </c>
      <c r="D33" s="35" t="s">
        <v>887</v>
      </c>
      <c r="E33" s="34" t="s">
        <v>47</v>
      </c>
      <c r="F33" s="35">
        <v>2</v>
      </c>
      <c r="G33" s="39" t="s">
        <v>922</v>
      </c>
      <c r="H33" s="35" t="s">
        <v>402</v>
      </c>
      <c r="I33" s="34" t="s">
        <v>234</v>
      </c>
      <c r="J33" s="35" t="s">
        <v>177</v>
      </c>
      <c r="K33" s="35" t="s">
        <v>178</v>
      </c>
      <c r="L33" s="35" t="s">
        <v>177</v>
      </c>
      <c r="M33" s="35" t="s">
        <v>182</v>
      </c>
      <c r="N33" s="35" t="s">
        <v>951</v>
      </c>
      <c r="O33" s="35" t="s">
        <v>951</v>
      </c>
      <c r="P33" s="35" t="s">
        <v>511</v>
      </c>
      <c r="Q33" s="35"/>
      <c r="R33" s="35"/>
      <c r="S33" s="35" t="s">
        <v>988</v>
      </c>
      <c r="T33" s="37" t="s">
        <v>1035</v>
      </c>
      <c r="U33" s="34" t="s">
        <v>177</v>
      </c>
      <c r="V33" s="34" t="s">
        <v>1036</v>
      </c>
      <c r="W33" s="34" t="s">
        <v>1037</v>
      </c>
      <c r="X33" s="35" t="s">
        <v>1095</v>
      </c>
      <c r="Y33" s="38" t="s">
        <v>1096</v>
      </c>
      <c r="Z33" s="34" t="s">
        <v>177</v>
      </c>
      <c r="AA33" s="34" t="s">
        <v>176</v>
      </c>
      <c r="AB33" s="36">
        <v>46266</v>
      </c>
      <c r="AC33" s="36">
        <v>46379</v>
      </c>
      <c r="AD33" s="34" t="s">
        <v>1138</v>
      </c>
      <c r="AE33" s="36">
        <v>46140</v>
      </c>
      <c r="AF33" s="36">
        <v>46150</v>
      </c>
    </row>
    <row r="34" spans="1:32" s="5" customFormat="1" ht="24" customHeight="1">
      <c r="A34" s="4" t="s">
        <v>75</v>
      </c>
      <c r="B34" s="34" t="s">
        <v>905</v>
      </c>
      <c r="C34" s="34" t="s">
        <v>887</v>
      </c>
      <c r="D34" s="35" t="s">
        <v>887</v>
      </c>
      <c r="E34" s="35" t="s">
        <v>47</v>
      </c>
      <c r="F34" s="34">
        <v>2</v>
      </c>
      <c r="G34" s="37" t="s">
        <v>939</v>
      </c>
      <c r="H34" s="35" t="s">
        <v>402</v>
      </c>
      <c r="I34" s="34" t="s">
        <v>234</v>
      </c>
      <c r="J34" s="35" t="s">
        <v>176</v>
      </c>
      <c r="K34" s="35" t="s">
        <v>283</v>
      </c>
      <c r="L34" s="35" t="s">
        <v>177</v>
      </c>
      <c r="M34" s="34" t="s">
        <v>1163</v>
      </c>
      <c r="N34" s="34"/>
      <c r="O34" s="35" t="s">
        <v>977</v>
      </c>
      <c r="P34" s="34"/>
      <c r="Q34" s="35"/>
      <c r="R34" s="34" t="s">
        <v>1013</v>
      </c>
      <c r="S34" s="37" t="s">
        <v>1014</v>
      </c>
      <c r="T34" s="34" t="s">
        <v>1075</v>
      </c>
      <c r="U34" s="34" t="s">
        <v>177</v>
      </c>
      <c r="V34" s="34" t="s">
        <v>1076</v>
      </c>
      <c r="W34" s="34" t="s">
        <v>1076</v>
      </c>
      <c r="X34" s="37"/>
      <c r="Y34" s="34" t="s">
        <v>939</v>
      </c>
      <c r="Z34" s="35" t="s">
        <v>177</v>
      </c>
      <c r="AA34" s="34" t="s">
        <v>176</v>
      </c>
      <c r="AB34" s="36" t="s">
        <v>1014</v>
      </c>
      <c r="AC34" s="36" t="s">
        <v>1014</v>
      </c>
      <c r="AD34" s="34" t="s">
        <v>228</v>
      </c>
      <c r="AE34" s="36">
        <v>46142</v>
      </c>
      <c r="AF34" s="36">
        <v>46153</v>
      </c>
    </row>
    <row r="35" spans="1:32" s="5" customFormat="1" ht="24" customHeight="1">
      <c r="A35" s="4" t="s">
        <v>76</v>
      </c>
      <c r="B35" s="34" t="s">
        <v>906</v>
      </c>
      <c r="C35" s="34" t="s">
        <v>887</v>
      </c>
      <c r="D35" s="35" t="s">
        <v>887</v>
      </c>
      <c r="E35" s="34" t="s">
        <v>47</v>
      </c>
      <c r="F35" s="34">
        <v>1</v>
      </c>
      <c r="G35" s="37" t="s">
        <v>940</v>
      </c>
      <c r="H35" s="35" t="s">
        <v>402</v>
      </c>
      <c r="I35" s="34" t="s">
        <v>234</v>
      </c>
      <c r="J35" s="34" t="s">
        <v>176</v>
      </c>
      <c r="K35" s="35" t="s">
        <v>178</v>
      </c>
      <c r="L35" s="35" t="s">
        <v>177</v>
      </c>
      <c r="M35" s="34" t="s">
        <v>964</v>
      </c>
      <c r="N35" s="34"/>
      <c r="O35" s="34"/>
      <c r="P35" s="34"/>
      <c r="Q35" s="35"/>
      <c r="R35" s="35" t="s">
        <v>1015</v>
      </c>
      <c r="S35" s="34" t="s">
        <v>1005</v>
      </c>
      <c r="T35" s="34" t="s">
        <v>180</v>
      </c>
      <c r="U35" s="34" t="s">
        <v>177</v>
      </c>
      <c r="V35" s="34" t="s">
        <v>229</v>
      </c>
      <c r="W35" s="34">
        <v>24</v>
      </c>
      <c r="X35" s="34"/>
      <c r="Y35" s="37" t="s">
        <v>1124</v>
      </c>
      <c r="Z35" s="35" t="s">
        <v>177</v>
      </c>
      <c r="AA35" s="34" t="s">
        <v>176</v>
      </c>
      <c r="AB35" s="36">
        <v>46266</v>
      </c>
      <c r="AC35" s="36">
        <v>46404</v>
      </c>
      <c r="AD35" s="36" t="s">
        <v>180</v>
      </c>
      <c r="AE35" s="36">
        <v>46157</v>
      </c>
      <c r="AF35" s="36">
        <v>46172</v>
      </c>
    </row>
    <row r="36" spans="1:32" s="5" customFormat="1" ht="24" customHeight="1">
      <c r="A36" s="4" t="s">
        <v>78</v>
      </c>
      <c r="B36" s="34" t="s">
        <v>910</v>
      </c>
      <c r="C36" s="35" t="s">
        <v>887</v>
      </c>
      <c r="D36" s="35" t="s">
        <v>887</v>
      </c>
      <c r="E36" s="34" t="s">
        <v>47</v>
      </c>
      <c r="F36" s="34">
        <v>1</v>
      </c>
      <c r="G36" s="37" t="s">
        <v>943</v>
      </c>
      <c r="H36" s="35" t="s">
        <v>402</v>
      </c>
      <c r="I36" s="34" t="s">
        <v>234</v>
      </c>
      <c r="J36" s="34" t="s">
        <v>176</v>
      </c>
      <c r="K36" s="35"/>
      <c r="L36" s="35"/>
      <c r="M36" s="34" t="s">
        <v>1163</v>
      </c>
      <c r="N36" s="35" t="s">
        <v>180</v>
      </c>
      <c r="O36" s="34"/>
      <c r="P36" s="34"/>
      <c r="Q36" s="35"/>
      <c r="R36" s="34"/>
      <c r="S36" s="34" t="s">
        <v>1005</v>
      </c>
      <c r="T36" s="34"/>
      <c r="U36" s="34" t="s">
        <v>177</v>
      </c>
      <c r="V36" s="34"/>
      <c r="W36" s="34"/>
      <c r="X36" s="34"/>
      <c r="Y36" s="37"/>
      <c r="Z36" s="34" t="s">
        <v>177</v>
      </c>
      <c r="AA36" s="34" t="s">
        <v>176</v>
      </c>
      <c r="AB36" s="36">
        <v>46266</v>
      </c>
      <c r="AC36" s="36" t="s">
        <v>1153</v>
      </c>
      <c r="AD36" s="36"/>
      <c r="AE36" s="36">
        <v>46341</v>
      </c>
      <c r="AF36" s="36">
        <v>46356</v>
      </c>
    </row>
    <row r="37" spans="1:32" s="5" customFormat="1" ht="24" customHeight="1">
      <c r="A37" s="4" t="s">
        <v>80</v>
      </c>
      <c r="B37" s="34" t="s">
        <v>911</v>
      </c>
      <c r="C37" s="35" t="s">
        <v>887</v>
      </c>
      <c r="D37" s="35" t="s">
        <v>887</v>
      </c>
      <c r="E37" s="34" t="s">
        <v>47</v>
      </c>
      <c r="F37" s="34">
        <v>1</v>
      </c>
      <c r="G37" s="37" t="s">
        <v>944</v>
      </c>
      <c r="H37" s="35" t="s">
        <v>402</v>
      </c>
      <c r="I37" s="34" t="s">
        <v>234</v>
      </c>
      <c r="J37" s="34" t="s">
        <v>177</v>
      </c>
      <c r="K37" s="35" t="s">
        <v>283</v>
      </c>
      <c r="L37" s="35" t="s">
        <v>177</v>
      </c>
      <c r="M37" s="34" t="s">
        <v>967</v>
      </c>
      <c r="N37" s="35"/>
      <c r="O37" s="34"/>
      <c r="P37" s="34"/>
      <c r="Q37" s="35"/>
      <c r="R37" s="34" t="s">
        <v>1019</v>
      </c>
      <c r="S37" s="34" t="s">
        <v>1020</v>
      </c>
      <c r="T37" s="34"/>
      <c r="U37" s="34"/>
      <c r="V37" s="34">
        <v>16</v>
      </c>
      <c r="W37" s="34">
        <v>30</v>
      </c>
      <c r="X37" s="34"/>
      <c r="Y37" s="37" t="s">
        <v>1128</v>
      </c>
      <c r="Z37" s="34" t="s">
        <v>177</v>
      </c>
      <c r="AA37" s="34" t="s">
        <v>176</v>
      </c>
      <c r="AB37" s="36">
        <v>46272</v>
      </c>
      <c r="AC37" s="36">
        <v>46402</v>
      </c>
      <c r="AD37" s="36"/>
      <c r="AE37" s="36">
        <v>46157</v>
      </c>
      <c r="AF37" s="36">
        <v>46172</v>
      </c>
    </row>
    <row r="38" spans="1:32" s="5" customFormat="1" ht="24" customHeight="1">
      <c r="A38" s="4" t="s">
        <v>81</v>
      </c>
      <c r="B38" s="34" t="s">
        <v>914</v>
      </c>
      <c r="C38" s="35" t="s">
        <v>887</v>
      </c>
      <c r="D38" s="35" t="s">
        <v>887</v>
      </c>
      <c r="E38" s="34" t="s">
        <v>47</v>
      </c>
      <c r="F38" s="34">
        <v>2</v>
      </c>
      <c r="G38" s="37"/>
      <c r="H38" s="35" t="s">
        <v>402</v>
      </c>
      <c r="I38" s="34" t="s">
        <v>234</v>
      </c>
      <c r="J38" s="34" t="s">
        <v>177</v>
      </c>
      <c r="K38" s="35"/>
      <c r="L38" s="35"/>
      <c r="M38" s="34" t="s">
        <v>969</v>
      </c>
      <c r="N38" s="35" t="s">
        <v>970</v>
      </c>
      <c r="O38" s="34"/>
      <c r="P38" s="34" t="s">
        <v>983</v>
      </c>
      <c r="Q38" s="35"/>
      <c r="R38" s="34" t="s">
        <v>1024</v>
      </c>
      <c r="S38" s="34"/>
      <c r="T38" s="34"/>
      <c r="U38" s="34"/>
      <c r="V38" s="34"/>
      <c r="W38" s="34"/>
      <c r="X38" s="34"/>
      <c r="Y38" s="37" t="s">
        <v>1131</v>
      </c>
      <c r="Z38" s="34" t="s">
        <v>177</v>
      </c>
      <c r="AA38" s="34" t="s">
        <v>176</v>
      </c>
      <c r="AB38" s="36">
        <v>46266</v>
      </c>
      <c r="AC38" s="36">
        <v>46402</v>
      </c>
      <c r="AD38" s="36" t="s">
        <v>1155</v>
      </c>
      <c r="AE38" s="36">
        <v>46150</v>
      </c>
      <c r="AF38" s="36">
        <v>46157</v>
      </c>
    </row>
    <row r="39" spans="1:32" s="5" customFormat="1" ht="24" customHeight="1">
      <c r="A39" s="4" t="s">
        <v>82</v>
      </c>
      <c r="B39" s="34" t="s">
        <v>915</v>
      </c>
      <c r="C39" s="35" t="s">
        <v>887</v>
      </c>
      <c r="D39" s="35" t="s">
        <v>887</v>
      </c>
      <c r="E39" s="34" t="s">
        <v>47</v>
      </c>
      <c r="F39" s="34">
        <v>1</v>
      </c>
      <c r="G39" s="37" t="s">
        <v>947</v>
      </c>
      <c r="H39" s="35" t="s">
        <v>402</v>
      </c>
      <c r="I39" s="34" t="s">
        <v>234</v>
      </c>
      <c r="J39" s="34" t="s">
        <v>177</v>
      </c>
      <c r="K39" s="35" t="s">
        <v>283</v>
      </c>
      <c r="L39" s="35" t="s">
        <v>177</v>
      </c>
      <c r="M39" s="34" t="s">
        <v>971</v>
      </c>
      <c r="N39" s="35">
        <v>80</v>
      </c>
      <c r="O39" s="34">
        <v>550</v>
      </c>
      <c r="P39" s="34">
        <v>6</v>
      </c>
      <c r="Q39" s="35"/>
      <c r="R39" s="34" t="s">
        <v>1025</v>
      </c>
      <c r="S39" s="34"/>
      <c r="T39" s="34"/>
      <c r="U39" s="34"/>
      <c r="V39" s="34" t="s">
        <v>1084</v>
      </c>
      <c r="W39" s="34" t="s">
        <v>1085</v>
      </c>
      <c r="X39" s="34" t="s">
        <v>1132</v>
      </c>
      <c r="Y39" s="37" t="s">
        <v>1133</v>
      </c>
      <c r="Z39" s="34" t="s">
        <v>177</v>
      </c>
      <c r="AA39" s="34" t="s">
        <v>176</v>
      </c>
      <c r="AB39" s="36" t="s">
        <v>1156</v>
      </c>
      <c r="AC39" s="36" t="s">
        <v>1157</v>
      </c>
      <c r="AD39" s="36" t="s">
        <v>1158</v>
      </c>
      <c r="AE39" s="36">
        <v>46127</v>
      </c>
      <c r="AF39" s="36">
        <v>46157</v>
      </c>
    </row>
    <row r="40" spans="1:32" s="5" customFormat="1" ht="24" customHeight="1">
      <c r="A40" s="4" t="s">
        <v>83</v>
      </c>
      <c r="B40" s="34" t="s">
        <v>916</v>
      </c>
      <c r="C40" s="35" t="s">
        <v>887</v>
      </c>
      <c r="D40" s="35" t="s">
        <v>887</v>
      </c>
      <c r="E40" s="34" t="s">
        <v>47</v>
      </c>
      <c r="F40" s="34">
        <v>1</v>
      </c>
      <c r="G40" s="37" t="s">
        <v>948</v>
      </c>
      <c r="H40" s="35" t="s">
        <v>402</v>
      </c>
      <c r="I40" s="34" t="s">
        <v>234</v>
      </c>
      <c r="J40" s="34" t="s">
        <v>177</v>
      </c>
      <c r="K40" s="35" t="s">
        <v>283</v>
      </c>
      <c r="L40" s="35"/>
      <c r="M40" s="34">
        <v>3</v>
      </c>
      <c r="N40" s="35">
        <v>80</v>
      </c>
      <c r="O40" s="34">
        <v>550</v>
      </c>
      <c r="P40" s="34">
        <v>5.5</v>
      </c>
      <c r="Q40" s="35"/>
      <c r="R40" s="34"/>
      <c r="S40" s="34" t="s">
        <v>948</v>
      </c>
      <c r="T40" s="34"/>
      <c r="U40" s="34" t="s">
        <v>1086</v>
      </c>
      <c r="V40" s="34"/>
      <c r="W40" s="34"/>
      <c r="X40" s="34"/>
      <c r="Y40" s="37" t="s">
        <v>1134</v>
      </c>
      <c r="Z40" s="34" t="s">
        <v>177</v>
      </c>
      <c r="AA40" s="34" t="s">
        <v>176</v>
      </c>
      <c r="AB40" s="36" t="s">
        <v>1159</v>
      </c>
      <c r="AC40" s="36" t="s">
        <v>1160</v>
      </c>
      <c r="AD40" s="36" t="s">
        <v>1161</v>
      </c>
      <c r="AE40" s="36">
        <v>46172</v>
      </c>
      <c r="AF40" s="36">
        <v>46203</v>
      </c>
    </row>
  </sheetData>
  <protectedRanges>
    <protectedRange sqref="D5:E6 G5:G6" name="범위1_1_1"/>
  </protectedRanges>
  <autoFilter ref="A8:AF8" xr:uid="{00000000-0009-0000-0000-000001000000}">
    <sortState xmlns:xlrd2="http://schemas.microsoft.com/office/spreadsheetml/2017/richdata2" ref="A10:AF40">
      <sortCondition ref="C8"/>
    </sortState>
  </autoFilter>
  <mergeCells count="18">
    <mergeCell ref="D2:U2"/>
    <mergeCell ref="D3:U3"/>
    <mergeCell ref="A5:B6"/>
    <mergeCell ref="D5:U5"/>
    <mergeCell ref="D6:U6"/>
    <mergeCell ref="F26:F28"/>
    <mergeCell ref="AB7:AF7"/>
    <mergeCell ref="A7:A8"/>
    <mergeCell ref="B7:B8"/>
    <mergeCell ref="C7:C8"/>
    <mergeCell ref="D7:D8"/>
    <mergeCell ref="E7:E8"/>
    <mergeCell ref="G7:G8"/>
    <mergeCell ref="H7:H8"/>
    <mergeCell ref="I7:I8"/>
    <mergeCell ref="J7:S7"/>
    <mergeCell ref="T7:Y7"/>
    <mergeCell ref="Z7:AA7"/>
  </mergeCells>
  <phoneticPr fontId="3" type="noConversion"/>
  <conditionalFormatting sqref="B7:B8">
    <cfRule type="duplicateValues" dxfId="0" priority="7"/>
  </conditionalFormatting>
  <hyperlinks>
    <hyperlink ref="A5" location="'학점(GPA) 환산'!A1" display="평균평점(GPA) 환산표" xr:uid="{00000000-0004-0000-0100-000000000000}"/>
    <hyperlink ref="A5:B6" location="'평균평점(GPA) 변환'!A1" display="평균평점(GPA) 변환기" xr:uid="{00000000-0004-0000-0100-000001000000}"/>
  </hyperlinks>
  <pageMargins left="0.7" right="0.7" top="0.75" bottom="0.75" header="0.3" footer="0.3"/>
  <pageSetup paperSize="9" orientation="portrait" r:id="rId1"/>
  <ignoredErrors>
    <ignoredError sqref="A9:A40" numberStoredAsText="1"/>
  </ignoredError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0"/>
  <sheetViews>
    <sheetView showGridLines="0" zoomScale="175" zoomScaleNormal="175" zoomScaleSheetLayoutView="150" workbookViewId="0"/>
  </sheetViews>
  <sheetFormatPr defaultColWidth="9" defaultRowHeight="17.399999999999999"/>
  <cols>
    <col min="1" max="1" width="3.59765625" style="15" customWidth="1"/>
    <col min="2" max="2" width="26.3984375" style="15" customWidth="1"/>
    <col min="3" max="3" width="9" style="15"/>
    <col min="4" max="4" width="10.19921875" style="15" customWidth="1"/>
    <col min="5" max="16384" width="9" style="15"/>
  </cols>
  <sheetData>
    <row r="1" spans="1:4">
      <c r="A1" s="12"/>
      <c r="B1" s="13"/>
      <c r="C1" s="13"/>
      <c r="D1" s="14"/>
    </row>
    <row r="2" spans="1:4">
      <c r="A2" s="16"/>
      <c r="B2" s="17" t="s">
        <v>39</v>
      </c>
      <c r="C2" s="18"/>
      <c r="D2" s="19"/>
    </row>
    <row r="3" spans="1:4" ht="6" customHeight="1" thickBot="1">
      <c r="A3" s="16"/>
      <c r="B3" s="20"/>
      <c r="C3" s="18"/>
      <c r="D3" s="19"/>
    </row>
    <row r="4" spans="1:4" ht="18.600000000000001" thickTop="1" thickBot="1">
      <c r="A4" s="16"/>
      <c r="B4" s="21" t="s">
        <v>40</v>
      </c>
      <c r="C4" s="22"/>
      <c r="D4" s="23"/>
    </row>
    <row r="5" spans="1:4" ht="18" thickTop="1">
      <c r="A5" s="16"/>
      <c r="B5" s="24" t="s">
        <v>41</v>
      </c>
      <c r="C5" s="25">
        <f>(C4*4.3)/4.5</f>
        <v>0</v>
      </c>
      <c r="D5" s="26"/>
    </row>
    <row r="6" spans="1:4">
      <c r="A6" s="16"/>
      <c r="B6" s="24" t="s">
        <v>42</v>
      </c>
      <c r="C6" s="27">
        <f>(C4*4)/4.5</f>
        <v>0</v>
      </c>
      <c r="D6" s="26"/>
    </row>
    <row r="7" spans="1:4">
      <c r="A7" s="16"/>
      <c r="B7" s="24" t="s">
        <v>43</v>
      </c>
      <c r="C7" s="27">
        <f>(C4*100)/4.5</f>
        <v>0</v>
      </c>
      <c r="D7" s="26"/>
    </row>
    <row r="8" spans="1:4">
      <c r="A8" s="16"/>
      <c r="B8" s="18"/>
      <c r="C8" s="18"/>
      <c r="D8" s="19"/>
    </row>
    <row r="9" spans="1:4">
      <c r="A9" s="16"/>
      <c r="B9" s="18"/>
      <c r="C9" s="18"/>
      <c r="D9" s="19"/>
    </row>
    <row r="10" spans="1:4" ht="18" thickBot="1">
      <c r="A10" s="28"/>
      <c r="B10" s="29"/>
      <c r="C10" s="29"/>
      <c r="D10" s="30"/>
    </row>
  </sheetData>
  <sheetProtection sheet="1" autoFilter="0"/>
  <protectedRanges>
    <protectedRange sqref="C4" name="범위1"/>
  </protectedRanges>
  <phoneticPr fontId="3"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3</vt:i4>
      </vt:variant>
      <vt:variant>
        <vt:lpstr>이름 지정된 범위</vt:lpstr>
      </vt:variant>
      <vt:variant>
        <vt:i4>1</vt:i4>
      </vt:variant>
    </vt:vector>
  </HeadingPairs>
  <TitlesOfParts>
    <vt:vector size="4" baseType="lpstr">
      <vt:lpstr>본모집_영미유럽기타</vt:lpstr>
      <vt:lpstr>본모집_일본중국어</vt:lpstr>
      <vt:lpstr>평균평점(GPA) 변환</vt:lpstr>
      <vt:lpstr>'평균평점(GPA) 변환'!Print_Area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사용자</dc:creator>
  <cp:lastModifiedBy>상윤 박</cp:lastModifiedBy>
  <dcterms:created xsi:type="dcterms:W3CDTF">2024-01-12T06:12:12Z</dcterms:created>
  <dcterms:modified xsi:type="dcterms:W3CDTF">2026-01-25T02:28:53Z</dcterms:modified>
</cp:coreProperties>
</file>